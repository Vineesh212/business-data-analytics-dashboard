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6b0bdc9f805c7aef/Documents/"/>
    </mc:Choice>
  </mc:AlternateContent>
  <xr:revisionPtr revIDLastSave="485" documentId="8_{4ADDBB24-D957-4565-8C1E-366FCD8FE845}" xr6:coauthVersionLast="47" xr6:coauthVersionMax="47" xr10:uidLastSave="{28E7FEE0-11CD-4805-A1E1-DA35FA95433F}"/>
  <bookViews>
    <workbookView xWindow="-110" yWindow="-110" windowWidth="23260" windowHeight="14860" xr2:uid="{0392A727-C54C-40B6-A65F-38C7E7AD7B87}"/>
  </bookViews>
  <sheets>
    <sheet name="Client Jobs" sheetId="1" r:id="rId1"/>
    <sheet name="Storage Inventory" sheetId="2" r:id="rId2"/>
    <sheet name="Delivery Log" sheetId="3" r:id="rId3"/>
    <sheet name="KPI Dashboard" sheetId="4" r:id="rId4"/>
    <sheet name="Audit Log" sheetId="5" r:id="rId5"/>
    <sheet name="Management Insights" sheetId="6" r:id="rId6"/>
  </sheets>
  <definedNames>
    <definedName name="_xlnm._FilterDatabase" localSheetId="4" hidden="1">'Audit Log'!$A$3:$H$3</definedName>
    <definedName name="_xlnm._FilterDatabase" localSheetId="2" hidden="1">'Delivery Log'!$A$3:$J$3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1" i="4" l="1"/>
  <c r="AB7" i="4" a="1"/>
  <c r="AB7" i="4" s="1"/>
  <c r="AB10" i="4" a="1"/>
  <c r="AB10" i="4" s="1"/>
  <c r="AB9" i="4" a="1"/>
  <c r="AB9" i="4" s="1"/>
  <c r="AB8" i="4" a="1"/>
  <c r="AB8" i="4" s="1"/>
  <c r="B40" i="4"/>
  <c r="B42" i="4"/>
  <c r="B41" i="4"/>
  <c r="B39" i="4"/>
  <c r="B24" i="4"/>
  <c r="B25" i="4"/>
  <c r="B23" i="4"/>
  <c r="B22" i="4"/>
  <c r="B10" i="4"/>
  <c r="B11" i="4"/>
  <c r="B12" i="4"/>
  <c r="C39" i="3"/>
  <c r="C37" i="3"/>
  <c r="C35" i="3"/>
  <c r="E14" i="5"/>
  <c r="D14" i="5"/>
  <c r="I4" i="2"/>
  <c r="J4" i="2" s="1"/>
  <c r="I33" i="3"/>
  <c r="I32" i="3"/>
  <c r="I31" i="3"/>
  <c r="I30" i="3"/>
  <c r="I29" i="3"/>
  <c r="I28" i="3"/>
  <c r="I27" i="3"/>
  <c r="I26" i="3"/>
  <c r="I25" i="3"/>
  <c r="I24" i="3"/>
  <c r="I23" i="3"/>
  <c r="I22" i="3"/>
  <c r="I21" i="3"/>
  <c r="I20" i="3"/>
  <c r="I19" i="3"/>
  <c r="I18" i="3"/>
  <c r="I17" i="3"/>
  <c r="I16" i="3"/>
  <c r="I15" i="3"/>
  <c r="I14" i="3"/>
  <c r="I13" i="3"/>
  <c r="I12" i="3"/>
  <c r="I11" i="3"/>
  <c r="I10" i="3"/>
  <c r="I9" i="3"/>
  <c r="I8" i="3"/>
  <c r="I7" i="3"/>
  <c r="I6" i="3"/>
  <c r="I5" i="3"/>
  <c r="I4" i="3"/>
  <c r="I28" i="2"/>
  <c r="J28" i="2" s="1"/>
  <c r="I27" i="2"/>
  <c r="J27" i="2" s="1"/>
  <c r="I26" i="2"/>
  <c r="J26" i="2" s="1"/>
  <c r="I25" i="2"/>
  <c r="J25" i="2" s="1"/>
  <c r="I24" i="2"/>
  <c r="J24" i="2" s="1"/>
  <c r="I23" i="2"/>
  <c r="J23" i="2" s="1"/>
  <c r="I22" i="2"/>
  <c r="J22" i="2" s="1"/>
  <c r="I21" i="2"/>
  <c r="J21" i="2" s="1"/>
  <c r="I20" i="2"/>
  <c r="J20" i="2" s="1"/>
  <c r="I19" i="2"/>
  <c r="J19" i="2" s="1"/>
  <c r="I18" i="2"/>
  <c r="J18" i="2" s="1"/>
  <c r="I17" i="2"/>
  <c r="J17" i="2" s="1"/>
  <c r="I16" i="2"/>
  <c r="J16" i="2" s="1"/>
  <c r="I15" i="2"/>
  <c r="J15" i="2" s="1"/>
  <c r="I14" i="2"/>
  <c r="J14" i="2" s="1"/>
  <c r="I13" i="2"/>
  <c r="J13" i="2" s="1"/>
  <c r="I12" i="2"/>
  <c r="J12" i="2" s="1"/>
  <c r="I11" i="2"/>
  <c r="J11" i="2" s="1"/>
  <c r="I10" i="2"/>
  <c r="J10" i="2" s="1"/>
  <c r="I9" i="2"/>
  <c r="J9" i="2" s="1"/>
  <c r="I8" i="2"/>
  <c r="J8" i="2" s="1"/>
  <c r="I7" i="2"/>
  <c r="J7" i="2" s="1"/>
  <c r="I6" i="2"/>
  <c r="J6" i="2" s="1"/>
  <c r="I5" i="2"/>
  <c r="J5" i="2" s="1"/>
  <c r="AB12" i="4" l="1"/>
  <c r="AB11"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<sst xmlns="http://schemas.openxmlformats.org/spreadsheetml/2006/main" count="822" uniqueCount="380">
  <si>
    <t>Job ID</t>
  </si>
  <si>
    <t>Client Name</t>
  </si>
  <si>
    <t>Designer / Referral</t>
  </si>
  <si>
    <t>Job Type</t>
  </si>
  <si>
    <t>Origin City</t>
  </si>
  <si>
    <t>Destination City</t>
  </si>
  <si>
    <t>Scheduled Date</t>
  </si>
  <si>
    <t>Items Count</t>
  </si>
  <si>
    <t>Job Value ($)</t>
  </si>
  <si>
    <t>Crew Assigned</t>
  </si>
  <si>
    <t>Job Status</t>
  </si>
  <si>
    <t>Notes</t>
  </si>
  <si>
    <t>MT2001</t>
  </si>
  <si>
    <t>Sarah Williams</t>
  </si>
  <si>
    <t>ABC Interiors</t>
  </si>
  <si>
    <t>Residential Move</t>
  </si>
  <si>
    <t>West Palm Beach</t>
  </si>
  <si>
    <t>Boca Raton</t>
  </si>
  <si>
    <t>Team A</t>
  </si>
  <si>
    <t>Completed</t>
  </si>
  <si>
    <t>On time</t>
  </si>
  <si>
    <t>MT2002</t>
  </si>
  <si>
    <t>James Carter</t>
  </si>
  <si>
    <t>Elite Design Co</t>
  </si>
  <si>
    <t>Interior Install</t>
  </si>
  <si>
    <t>Palm Beach</t>
  </si>
  <si>
    <t>Delray Beach</t>
  </si>
  <si>
    <t>Team B</t>
  </si>
  <si>
    <t>Client satisfied</t>
  </si>
  <si>
    <t>MT2003</t>
  </si>
  <si>
    <t>Maria Rodriguez</t>
  </si>
  <si>
    <t>Self Referral</t>
  </si>
  <si>
    <t>Wellington</t>
  </si>
  <si>
    <t>Team C</t>
  </si>
  <si>
    <t>MT2004</t>
  </si>
  <si>
    <t>David Johnson</t>
  </si>
  <si>
    <t>Palm Beach Designs</t>
  </si>
  <si>
    <t>Furniture Receiving</t>
  </si>
  <si>
    <t>Fragile items</t>
  </si>
  <si>
    <t>MT2005</t>
  </si>
  <si>
    <t>Ashley Davis</t>
  </si>
  <si>
    <t>Word of Mouth</t>
  </si>
  <si>
    <t>Storage Delivery</t>
  </si>
  <si>
    <t>MT2006</t>
  </si>
  <si>
    <t>Robert Miller</t>
  </si>
  <si>
    <t>Online Booking</t>
  </si>
  <si>
    <t>Extra care required</t>
  </si>
  <si>
    <t>MT2007</t>
  </si>
  <si>
    <t>Jennifer Wilson</t>
  </si>
  <si>
    <t>High value items</t>
  </si>
  <si>
    <t>MT2008</t>
  </si>
  <si>
    <t>Michael Brown</t>
  </si>
  <si>
    <t>Commercial Move</t>
  </si>
  <si>
    <t>MT2009</t>
  </si>
  <si>
    <t>Amanda Taylor</t>
  </si>
  <si>
    <t>MT2010</t>
  </si>
  <si>
    <t>Joseph Anderson</t>
  </si>
  <si>
    <t>MT2011</t>
  </si>
  <si>
    <t>Melissa Thomas</t>
  </si>
  <si>
    <t>MT2012</t>
  </si>
  <si>
    <t>Charles Jackson</t>
  </si>
  <si>
    <t>Antique furniture</t>
  </si>
  <si>
    <t>MT2013</t>
  </si>
  <si>
    <t>Stephanie White</t>
  </si>
  <si>
    <t>Designer supervised</t>
  </si>
  <si>
    <t>MT2014</t>
  </si>
  <si>
    <t>Thomas Harris</t>
  </si>
  <si>
    <t>MT2015</t>
  </si>
  <si>
    <t>Nicole Martin</t>
  </si>
  <si>
    <t>MT2016</t>
  </si>
  <si>
    <t>Christopher Thompson</t>
  </si>
  <si>
    <t>MT2017</t>
  </si>
  <si>
    <t>Rachel Garcia</t>
  </si>
  <si>
    <t>MT2018</t>
  </si>
  <si>
    <t>Daniel Martinez</t>
  </si>
  <si>
    <t>In Progress</t>
  </si>
  <si>
    <t>In progress</t>
  </si>
  <si>
    <t>MT2019</t>
  </si>
  <si>
    <t>Lauren Robinson</t>
  </si>
  <si>
    <t>High end artwork</t>
  </si>
  <si>
    <t>MT2020</t>
  </si>
  <si>
    <t>Matthew Clark</t>
  </si>
  <si>
    <t>Large shipment</t>
  </si>
  <si>
    <t>MT2021</t>
  </si>
  <si>
    <t>Brittany Lewis</t>
  </si>
  <si>
    <t>MT2022</t>
  </si>
  <si>
    <t>Anthony Lee</t>
  </si>
  <si>
    <t>MT2023</t>
  </si>
  <si>
    <t>Heather Walker</t>
  </si>
  <si>
    <t>Scheduled</t>
  </si>
  <si>
    <t>Confirmed</t>
  </si>
  <si>
    <t>MT2024</t>
  </si>
  <si>
    <t>Mark Hall</t>
  </si>
  <si>
    <t>MT2025</t>
  </si>
  <si>
    <t>Amber Allen</t>
  </si>
  <si>
    <t>Designer on site</t>
  </si>
  <si>
    <t>MT2026</t>
  </si>
  <si>
    <t>Donald Young</t>
  </si>
  <si>
    <t>Large office move</t>
  </si>
  <si>
    <t>MT2027</t>
  </si>
  <si>
    <t>Danielle Hernandez</t>
  </si>
  <si>
    <t>MT2028</t>
  </si>
  <si>
    <t>Steven King</t>
  </si>
  <si>
    <t>Cancelled</t>
  </si>
  <si>
    <t>Client rescheduled</t>
  </si>
  <si>
    <t>MT2029</t>
  </si>
  <si>
    <t>Christina Wright</t>
  </si>
  <si>
    <t>Client cancelled</t>
  </si>
  <si>
    <t>MT2030</t>
  </si>
  <si>
    <t>Paul Lopez</t>
  </si>
  <si>
    <t>Awaiting confirmation</t>
  </si>
  <si>
    <t>6/1/2026</t>
  </si>
  <si>
    <t>6/2/2026</t>
  </si>
  <si>
    <t>6/3/2026</t>
  </si>
  <si>
    <t>Stock Control | Item Condition | Data Analyst Project | Vineesh Mattapally</t>
  </si>
  <si>
    <t>Item ID</t>
  </si>
  <si>
    <t>Item Description</t>
  </si>
  <si>
    <t>Category</t>
  </si>
  <si>
    <t>Client Owner</t>
  </si>
  <si>
    <t>Storage Bay</t>
  </si>
  <si>
    <t>Date Received</t>
  </si>
  <si>
    <t>Condition</t>
  </si>
  <si>
    <t>Value ($)</t>
  </si>
  <si>
    <t>Days in Storage</t>
  </si>
  <si>
    <t>Storage Status</t>
  </si>
  <si>
    <t>ST001</t>
  </si>
  <si>
    <t>Victorian Sofa</t>
  </si>
  <si>
    <t>Furniture</t>
  </si>
  <si>
    <t>Bay A1</t>
  </si>
  <si>
    <t>4/5/2026</t>
  </si>
  <si>
    <t>Excellent</t>
  </si>
  <si>
    <t>ST002</t>
  </si>
  <si>
    <t>Dining Table Set</t>
  </si>
  <si>
    <t>Bay A2</t>
  </si>
  <si>
    <t>4/8/2026</t>
  </si>
  <si>
    <t>ST003</t>
  </si>
  <si>
    <t>Oil Painting</t>
  </si>
  <si>
    <t>Artwork</t>
  </si>
  <si>
    <t>4/12/2026</t>
  </si>
  <si>
    <t>Good</t>
  </si>
  <si>
    <t>ST004</t>
  </si>
  <si>
    <t>Antique Dresser</t>
  </si>
  <si>
    <t>Antique</t>
  </si>
  <si>
    <t>Bay B1</t>
  </si>
  <si>
    <t>4/15/2026</t>
  </si>
  <si>
    <t>ST005</t>
  </si>
  <si>
    <t>King Bed Frame</t>
  </si>
  <si>
    <t>Bay B2</t>
  </si>
  <si>
    <t>4/18/2026</t>
  </si>
  <si>
    <t>ST006</t>
  </si>
  <si>
    <t>Crystal Chandelier</t>
  </si>
  <si>
    <t>Lighting</t>
  </si>
  <si>
    <t>Bay C1</t>
  </si>
  <si>
    <t>4/20/2026</t>
  </si>
  <si>
    <t>ST007</t>
  </si>
  <si>
    <t>Persian Rug</t>
  </si>
  <si>
    <t>Accessories</t>
  </si>
  <si>
    <t>4/22/2026</t>
  </si>
  <si>
    <t>ST008</t>
  </si>
  <si>
    <t>Marble Coffee Table</t>
  </si>
  <si>
    <t>4/25/2026</t>
  </si>
  <si>
    <t>ST009</t>
  </si>
  <si>
    <t>Wardrobe Cabinet</t>
  </si>
  <si>
    <t>4/28/2026</t>
  </si>
  <si>
    <t>ST010</t>
  </si>
  <si>
    <t>Side Tables (pair)</t>
  </si>
  <si>
    <t>5/1/2026</t>
  </si>
  <si>
    <t>ST011</t>
  </si>
  <si>
    <t>Abstract Sculpture</t>
  </si>
  <si>
    <t>5/3/2026</t>
  </si>
  <si>
    <t>ST012</t>
  </si>
  <si>
    <t>Leather Armchair</t>
  </si>
  <si>
    <t>5/5/2026</t>
  </si>
  <si>
    <t>ST013</t>
  </si>
  <si>
    <t>Bookcase</t>
  </si>
  <si>
    <t>5/8/2026</t>
  </si>
  <si>
    <t>Fair</t>
  </si>
  <si>
    <t>ST014</t>
  </si>
  <si>
    <t>Outdoor Furniture Set</t>
  </si>
  <si>
    <t>Outdoor</t>
  </si>
  <si>
    <t>5/10/2026</t>
  </si>
  <si>
    <t>ST015</t>
  </si>
  <si>
    <t>Ornate Mirror</t>
  </si>
  <si>
    <t>5/12/2026</t>
  </si>
  <si>
    <t>ST016</t>
  </si>
  <si>
    <t>China Cabinet</t>
  </si>
  <si>
    <t>5/15/2026</t>
  </si>
  <si>
    <t>ST017</t>
  </si>
  <si>
    <t>Executive Desk</t>
  </si>
  <si>
    <t>5/18/2026</t>
  </si>
  <si>
    <t>ST018</t>
  </si>
  <si>
    <t>Accent Chairs (2)</t>
  </si>
  <si>
    <t>5/20/2026</t>
  </si>
  <si>
    <t>ST019</t>
  </si>
  <si>
    <t>Console Table</t>
  </si>
  <si>
    <t>5/22/2026</t>
  </si>
  <si>
    <t>ST020</t>
  </si>
  <si>
    <t>Art Deco Floor Lamp</t>
  </si>
  <si>
    <t>5/25/2026</t>
  </si>
  <si>
    <t>ST021</t>
  </si>
  <si>
    <t>Wine Rack</t>
  </si>
  <si>
    <t>5/27/2026</t>
  </si>
  <si>
    <t>ST022</t>
  </si>
  <si>
    <t>Credenza</t>
  </si>
  <si>
    <t>5/29/2026</t>
  </si>
  <si>
    <t>ST023</t>
  </si>
  <si>
    <t>Ottoman Set</t>
  </si>
  <si>
    <t>ST024</t>
  </si>
  <si>
    <t>Daybed</t>
  </si>
  <si>
    <t>Damaged</t>
  </si>
  <si>
    <t>ST025</t>
  </si>
  <si>
    <t>Entertainment Unit</t>
  </si>
  <si>
    <t>6/5/2026</t>
  </si>
  <si>
    <t>On-Time Delivery | Damage Tracking | Client Rating | Data Analyst Project | Vineesh Mattapally</t>
  </si>
  <si>
    <t>Delivery ID</t>
  </si>
  <si>
    <t>Actual Date</t>
  </si>
  <si>
    <t>Driver</t>
  </si>
  <si>
    <t>Items Delivered</t>
  </si>
  <si>
    <t>Damage Reported</t>
  </si>
  <si>
    <t>On Time</t>
  </si>
  <si>
    <t>Client Rating (1-5)</t>
  </si>
  <si>
    <t>DEL001</t>
  </si>
  <si>
    <t>Mike Johnson</t>
  </si>
  <si>
    <t>No</t>
  </si>
  <si>
    <t>DEL002</t>
  </si>
  <si>
    <t>Carlos Rivera</t>
  </si>
  <si>
    <t>DEL003</t>
  </si>
  <si>
    <t>Tony Williams</t>
  </si>
  <si>
    <t>DEL004</t>
  </si>
  <si>
    <t>6/4/2026</t>
  </si>
  <si>
    <t>James Brown</t>
  </si>
  <si>
    <t>DEL005</t>
  </si>
  <si>
    <t>Steve Davis</t>
  </si>
  <si>
    <t>DEL006</t>
  </si>
  <si>
    <t>6/6/2026</t>
  </si>
  <si>
    <t>6/7/2026</t>
  </si>
  <si>
    <t>DEL007</t>
  </si>
  <si>
    <t>DEL008</t>
  </si>
  <si>
    <t>6/8/2026</t>
  </si>
  <si>
    <t>DEL009</t>
  </si>
  <si>
    <t>6/9/2026</t>
  </si>
  <si>
    <t>DEL010</t>
  </si>
  <si>
    <t>6/10/2026</t>
  </si>
  <si>
    <t>DEL011</t>
  </si>
  <si>
    <t>6/11/2026</t>
  </si>
  <si>
    <t>DEL012</t>
  </si>
  <si>
    <t>6/12/2026</t>
  </si>
  <si>
    <t>DEL013</t>
  </si>
  <si>
    <t>6/13/2026</t>
  </si>
  <si>
    <t>6/14/2026</t>
  </si>
  <si>
    <t>DEL014</t>
  </si>
  <si>
    <t>DEL015</t>
  </si>
  <si>
    <t>6/15/2026</t>
  </si>
  <si>
    <t>DEL016</t>
  </si>
  <si>
    <t>6/16/2026</t>
  </si>
  <si>
    <t>DEL017</t>
  </si>
  <si>
    <t>6/17/2026</t>
  </si>
  <si>
    <t>DEL018</t>
  </si>
  <si>
    <t>6/18/2026</t>
  </si>
  <si>
    <t>DEL019</t>
  </si>
  <si>
    <t>6/19/2026</t>
  </si>
  <si>
    <t>6/20/2026</t>
  </si>
  <si>
    <t>Yes</t>
  </si>
  <si>
    <t>DEL020</t>
  </si>
  <si>
    <t>DEL021</t>
  </si>
  <si>
    <t>6/21/2026</t>
  </si>
  <si>
    <t>DEL022</t>
  </si>
  <si>
    <t>6/22/2026</t>
  </si>
  <si>
    <t>DEL023</t>
  </si>
  <si>
    <t>6/23/2026</t>
  </si>
  <si>
    <t>DEL024</t>
  </si>
  <si>
    <t>6/24/2026</t>
  </si>
  <si>
    <t>6/25/2026</t>
  </si>
  <si>
    <t>DEL025</t>
  </si>
  <si>
    <t>DEL026</t>
  </si>
  <si>
    <t>6/26/2026</t>
  </si>
  <si>
    <t>DEL027</t>
  </si>
  <si>
    <t>6/27/2026</t>
  </si>
  <si>
    <t>DEL028</t>
  </si>
  <si>
    <t>6/28/2026</t>
  </si>
  <si>
    <t>DEL029</t>
  </si>
  <si>
    <t>6/29/2026</t>
  </si>
  <si>
    <t>DEL030</t>
  </si>
  <si>
    <t>6/30/2026</t>
  </si>
  <si>
    <t>On Time Rate  %</t>
  </si>
  <si>
    <t>Damage Rate %</t>
  </si>
  <si>
    <t>Avg Client Rating</t>
  </si>
  <si>
    <t>Quality Control | Issue Tracking | Data Analyst Project | Vineesh Mattapally</t>
  </si>
  <si>
    <t>Audit ID</t>
  </si>
  <si>
    <t>Date</t>
  </si>
  <si>
    <t>Sheet Audited</t>
  </si>
  <si>
    <t>Records Checked</t>
  </si>
  <si>
    <t>Issues Found</t>
  </si>
  <si>
    <t>Issue Type</t>
  </si>
  <si>
    <t>Action Taken</t>
  </si>
  <si>
    <t>Status</t>
  </si>
  <si>
    <t>AUD001</t>
  </si>
  <si>
    <t>Client Jobs</t>
  </si>
  <si>
    <t>Duplicate Job ID</t>
  </si>
  <si>
    <t>Removed duplicate MT2015</t>
  </si>
  <si>
    <t>Resolved</t>
  </si>
  <si>
    <t>AUD002</t>
  </si>
  <si>
    <t>Missing client name</t>
  </si>
  <si>
    <t>Followed up with operations team</t>
  </si>
  <si>
    <t>AUD003</t>
  </si>
  <si>
    <t>Storage Inventory</t>
  </si>
  <si>
    <t>Incorrect item value</t>
  </si>
  <si>
    <t>Updated from original invoice</t>
  </si>
  <si>
    <t>AUD004</t>
  </si>
  <si>
    <t>None</t>
  </si>
  <si>
    <t>All records clean — no action needed</t>
  </si>
  <si>
    <t>Complete</t>
  </si>
  <si>
    <t>AUD005</t>
  </si>
  <si>
    <t>Delivery Log</t>
  </si>
  <si>
    <t>Missing actual delivery date</t>
  </si>
  <si>
    <t>Confirmed date with driver</t>
  </si>
  <si>
    <t>AUD006</t>
  </si>
  <si>
    <t>Wrong damage status</t>
  </si>
  <si>
    <t>Corrected via source documentation</t>
  </si>
  <si>
    <t>AUD007</t>
  </si>
  <si>
    <t>AUD008</t>
  </si>
  <si>
    <t>Item condition not updated</t>
  </si>
  <si>
    <t>Updated after physical inspection</t>
  </si>
  <si>
    <t>AUD009</t>
  </si>
  <si>
    <t>AUD010</t>
  </si>
  <si>
    <t>All Sheets</t>
  </si>
  <si>
    <t>Full cross-sheet audit passed</t>
  </si>
  <si>
    <t>TOTALS</t>
  </si>
  <si>
    <t>Delivery Status</t>
  </si>
  <si>
    <t>Count</t>
  </si>
  <si>
    <t>Late</t>
  </si>
  <si>
    <t>Pending</t>
  </si>
  <si>
    <t xml:space="preserve">Client Name </t>
  </si>
  <si>
    <t xml:space="preserve">Job Value </t>
  </si>
  <si>
    <t>Diana Foster</t>
  </si>
  <si>
    <t xml:space="preserve">Data Analyst Project | Vineesh Mattapally | June 2026  </t>
  </si>
  <si>
    <t>Mc Transfer - Management Insights Report</t>
  </si>
  <si>
    <t xml:space="preserve"> Strategic Analysis &amp; Recommendations</t>
  </si>
  <si>
    <t xml:space="preserve"> EXECUTIVE SUMMARY</t>
  </si>
  <si>
    <t>This dashboard analyzes client jobs, inventory utilization, delivery performance, and data quality metrics across McCorquodale Transfer operations. The objective is to identify operational trends, improve reporting accuracy, and support management decision-making through data-driven insights.</t>
  </si>
  <si>
    <t xml:space="preserve"> KEY FINDINGS &amp; RECOMMENDATIONS</t>
  </si>
  <si>
    <t>Area</t>
  </si>
  <si>
    <t>Findings</t>
  </si>
  <si>
    <t>Recommendation</t>
  </si>
  <si>
    <t>Operations</t>
  </si>
  <si>
    <t>Total completed jobs increased during Q2. Residential moves and interior installs represent highest value categories. Team A delivered best performance with zero late deliveries</t>
  </si>
  <si>
    <t>Continue allocating resources to highest-performing categories. Consider Team A as preferred crew for high-value assignments.</t>
  </si>
  <si>
    <t>Inventory</t>
  </si>
  <si>
    <t>25 items in storage across 5 bays. 11 Excellent, 11 Good, 1 Damaged. Average 33 days in storage</t>
  </si>
  <si>
    <t>Review items approaching Long Term Storage. Implement monthly utilization reviews to prevent space constraints.</t>
  </si>
  <si>
    <t>Delivery</t>
  </si>
  <si>
    <t>On Time Rate is 82.6%. 4 late deliveries and 2 damage reports recorded. Average client rating is 4.4 out of 5.</t>
  </si>
  <si>
    <t>Investigate routes with late deliveries. Review damage incidents for root cause. Monitor client ratings monthly.</t>
  </si>
  <si>
    <t>Data Quality</t>
  </si>
  <si>
    <t>10 audits completed. 8 issues found and all resolved. Most issues from incomplete records during initial entry.</t>
  </si>
  <si>
    <t>Implement mandatory field validation at entry. Schedule quarterly audit reviews. Automate anomaly detection.</t>
  </si>
  <si>
    <t>OPPORTUNITIES FOR IMPROVEMENT</t>
  </si>
  <si>
    <t>Opportunity</t>
  </si>
  <si>
    <t>Data Entry</t>
  </si>
  <si>
    <t>Reporting</t>
  </si>
  <si>
    <t>Reduce missing fields through mandatory validation rules</t>
  </si>
  <si>
    <t>Automate recurring KPI calculations to reduce manual effort</t>
  </si>
  <si>
    <t>Track storage utilization trends monthly</t>
  </si>
  <si>
    <t>Monitor delay patterns by route and driver</t>
  </si>
  <si>
    <t>Schedule regular audit reviews and automate anomaly detection</t>
  </si>
  <si>
    <t>STRATEGIC IMPACT</t>
  </si>
  <si>
    <t>Improving data quality and operational visibility can support faster decision-making, reduce reporting errors, and improve overall efficiency across inventory, delivery, and client management processes. By transitioning from reactive to proactive data management, McCorquodale Transfer can better anticipate demand, optimize crew allocation, and deliver a consistently exceptional client experience.</t>
  </si>
  <si>
    <r>
      <t xml:space="preserve"> </t>
    </r>
    <r>
      <rPr>
        <sz val="10"/>
        <color theme="0"/>
        <rFont val="Arial Unicode MS"/>
      </rPr>
      <t>Prepared by: Vineesh Mattapally | Data Analyst | vineesh1402@gmail.com | 561-970-9873 | June 2026</t>
    </r>
  </si>
  <si>
    <t>Mc Transfer — Client Job Register</t>
  </si>
  <si>
    <t>Mc Transfer — Storage &amp; Inventory Tracker</t>
  </si>
  <si>
    <t>Mc Transfer — Delivery Performance Log</t>
  </si>
  <si>
    <t xml:space="preserve">Mc Transfer — Executive KPI Dashboard					</t>
  </si>
  <si>
    <t>Mc Transfer — Data Validation &amp; Audit Log</t>
  </si>
  <si>
    <t>Week 1  Revenue</t>
  </si>
  <si>
    <t>Week 2  Revenue</t>
  </si>
  <si>
    <t>Week 3  Revenue</t>
  </si>
  <si>
    <t>Week 4  Revenue</t>
  </si>
  <si>
    <t>Peak Revenue Week</t>
  </si>
  <si>
    <t>W2 vs W1 Growth</t>
  </si>
  <si>
    <t>MONTHLY REVENUE TREND —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</si>
</sst>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mm/dd/yyyy"/>
    <numFmt numFmtId="166" formatCode="0.0%"/>
    <numFmt numFmtId="167" formatCode="m/d/yy;@"/>
    <numFmt numFmtId="173" formatCode="&quot;$&quot;#,##0.0"/>
    <numFmt numFmtId="174" formatCode="&quot;$&quot;#,##0"/>
  </numFmts>
  <fonts count="25">
    <font>
      <sz val="11"/>
      <color theme="1"/>
      <name val="Aptos Narrow"/>
      <family val="2"/>
      <scheme val="minor"/>
    </font>
    <font>
      <b/>
      <sz val="11"/>
      <color theme="0"/>
      <name val="Aptos Narrow"/>
      <family val="2"/>
      <scheme val="minor"/>
    </font>
    <font>
      <b/>
      <sz val="14"/>
      <color theme="0"/>
      <name val="Aptos Narrow"/>
      <family val="2"/>
      <scheme val="minor"/>
    </font>
    <font>
      <b/>
      <sz val="14"/>
      <color rgb="FFFFFFFF"/>
      <name val="Arial"/>
      <family val="2"/>
    </font>
    <font>
      <b/>
      <sz val="10"/>
      <color rgb="FFFFFFFF"/>
      <name val="Arial"/>
      <family val="2"/>
    </font>
    <font>
      <sz val="10"/>
      <name val="Arial"/>
      <family val="2"/>
    </font>
    <font>
      <b/>
      <sz val="10"/>
      <color rgb="FF1A5E1A"/>
      <name val="Arial"/>
      <family val="2"/>
    </font>
    <font>
      <b/>
      <sz val="10"/>
      <color rgb="FF9C0006"/>
      <name val="Arial"/>
      <family val="2"/>
    </font>
    <font>
      <sz val="11"/>
      <color rgb="FF14181F"/>
      <name val="Courier New"/>
      <family val="3"/>
    </font>
    <font>
      <b/>
      <sz val="10"/>
      <color theme="1"/>
      <name val="Arial"/>
      <family val="2"/>
    </font>
    <font>
      <sz val="11"/>
      <color theme="1"/>
      <name val="Arial"/>
      <family val="2"/>
    </font>
    <font>
      <sz val="10"/>
      <color theme="1"/>
      <name val="Arial"/>
      <family val="2"/>
    </font>
    <font>
      <sz val="10"/>
      <color rgb="FF14181F"/>
      <name val="Aptos Narrow"/>
      <family val="2"/>
      <scheme val="minor"/>
    </font>
    <font>
      <sz val="10"/>
      <color theme="1"/>
      <name val="Arial Unicode MS"/>
    </font>
    <font>
      <b/>
      <sz val="16"/>
      <color rgb="FFFFFFFF"/>
      <name val="Arial"/>
    </font>
    <font>
      <b/>
      <sz val="15"/>
      <color theme="1"/>
      <name val="Aptos Narrow"/>
      <family val="2"/>
      <scheme val="minor"/>
    </font>
    <font>
      <b/>
      <sz val="11"/>
      <color theme="1"/>
      <name val="Aptos Narrow"/>
      <family val="2"/>
      <scheme val="minor"/>
    </font>
    <font>
      <b/>
      <sz val="16"/>
      <color theme="0"/>
      <name val="Arial"/>
      <family val="2"/>
    </font>
    <font>
      <b/>
      <sz val="11"/>
      <color theme="1"/>
      <name val="Arial"/>
      <family val="2"/>
    </font>
    <font>
      <b/>
      <sz val="12"/>
      <color theme="0"/>
      <name val="Arial"/>
      <family val="2"/>
    </font>
    <font>
      <sz val="10"/>
      <color theme="1"/>
      <name val="Aptos Narrow"/>
      <family val="2"/>
      <scheme val="minor"/>
    </font>
    <font>
      <b/>
      <sz val="10"/>
      <color theme="1"/>
      <name val="Aptos Narrow"/>
      <family val="2"/>
      <scheme val="minor"/>
    </font>
    <font>
      <sz val="10"/>
      <color theme="0"/>
      <name val="Aptos Narrow"/>
      <family val="2"/>
      <scheme val="minor"/>
    </font>
    <font>
      <b/>
      <sz val="10"/>
      <color theme="0"/>
      <name val="Aptos Narrow"/>
      <family val="2"/>
      <scheme val="minor"/>
    </font>
    <font>
      <sz val="10"/>
      <color theme="0"/>
      <name val="Arial Unicode MS"/>
    </font>
  </fonts>
  <fills count="17">
    <fill>
      <patternFill patternType="none"/>
    </fill>
    <fill>
      <patternFill patternType="gray125"/>
    </fill>
    <fill>
      <patternFill patternType="solid">
        <fgColor rgb="FF1F3864"/>
        <bgColor indexed="64"/>
      </patternFill>
    </fill>
    <fill>
      <patternFill patternType="solid">
        <fgColor rgb="FF0070C0"/>
        <bgColor indexed="64"/>
      </patternFill>
    </fill>
    <fill>
      <patternFill patternType="solid">
        <fgColor rgb="FFC6EFCE"/>
      </patternFill>
    </fill>
    <fill>
      <patternFill patternType="solid">
        <fgColor rgb="FFFFC7CE"/>
      </patternFill>
    </fill>
    <fill>
      <patternFill patternType="solid">
        <fgColor rgb="FFF2F2F2"/>
      </patternFill>
    </fill>
    <fill>
      <patternFill patternType="solid">
        <fgColor theme="0"/>
        <bgColor indexed="64"/>
      </patternFill>
    </fill>
    <fill>
      <patternFill patternType="solid">
        <fgColor rgb="FF1F3864"/>
      </patternFill>
    </fill>
    <fill>
      <patternFill patternType="solid">
        <fgColor rgb="FF2E75B6"/>
      </patternFill>
    </fill>
    <fill>
      <patternFill patternType="solid">
        <fgColor rgb="FFFFFFFF"/>
      </patternFill>
    </fill>
    <fill>
      <patternFill patternType="solid">
        <fgColor theme="7" tint="0.39997558519241921"/>
        <bgColor indexed="64"/>
      </patternFill>
    </fill>
    <fill>
      <patternFill patternType="solid">
        <fgColor theme="7" tint="0.79998168889431442"/>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2" tint="-9.9978637043366805E-2"/>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5">
    <xf numFmtId="0" fontId="0" fillId="0" borderId="0" xfId="0"/>
    <xf numFmtId="0" fontId="1" fillId="3" borderId="0" xfId="0" applyFont="1" applyFill="1" applyAlignment="1">
      <alignment horizontal="center"/>
    </xf>
    <xf numFmtId="0" fontId="4" fillId="9"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5" fillId="6" borderId="1" xfId="0" applyFont="1" applyFill="1" applyBorder="1" applyAlignment="1">
      <alignment horizontal="left" vertical="center"/>
    </xf>
    <xf numFmtId="164" fontId="5" fillId="6" borderId="1" xfId="0" applyNumberFormat="1" applyFont="1" applyFill="1" applyBorder="1" applyAlignment="1">
      <alignment horizontal="left" vertical="center"/>
    </xf>
    <xf numFmtId="1" fontId="5" fillId="6" borderId="1" xfId="0" applyNumberFormat="1" applyFont="1" applyFill="1" applyBorder="1" applyAlignment="1">
      <alignment horizontal="center" vertical="center"/>
    </xf>
    <xf numFmtId="0" fontId="5" fillId="10" borderId="1" xfId="0" applyFont="1" applyFill="1" applyBorder="1" applyAlignment="1">
      <alignment horizontal="center" vertical="center"/>
    </xf>
    <xf numFmtId="0" fontId="5" fillId="10" borderId="1" xfId="0" applyFont="1" applyFill="1" applyBorder="1" applyAlignment="1">
      <alignment horizontal="left" vertical="center"/>
    </xf>
    <xf numFmtId="164" fontId="5" fillId="10" borderId="1" xfId="0" applyNumberFormat="1" applyFont="1" applyFill="1" applyBorder="1" applyAlignment="1">
      <alignment horizontal="left" vertical="center"/>
    </xf>
    <xf numFmtId="1" fontId="5" fillId="10" borderId="1" xfId="0" applyNumberFormat="1" applyFont="1" applyFill="1" applyBorder="1" applyAlignment="1">
      <alignment horizontal="center" vertical="center"/>
    </xf>
    <xf numFmtId="165" fontId="5" fillId="6" borderId="1" xfId="0" applyNumberFormat="1" applyFont="1" applyFill="1" applyBorder="1" applyAlignment="1">
      <alignment horizontal="left" vertical="center"/>
    </xf>
    <xf numFmtId="165" fontId="5" fillId="10" borderId="1" xfId="0" applyNumberFormat="1" applyFont="1" applyFill="1" applyBorder="1" applyAlignment="1">
      <alignment horizontal="left" vertical="center"/>
    </xf>
    <xf numFmtId="0" fontId="7" fillId="5" borderId="1" xfId="0" applyFont="1" applyFill="1" applyBorder="1" applyAlignment="1">
      <alignment horizontal="center" vertical="center"/>
    </xf>
    <xf numFmtId="0" fontId="6" fillId="4" borderId="1" xfId="0" applyFont="1" applyFill="1" applyBorder="1" applyAlignment="1">
      <alignment horizontal="center" vertical="center"/>
    </xf>
    <xf numFmtId="0" fontId="9" fillId="7" borderId="1" xfId="0" applyFont="1" applyFill="1" applyBorder="1" applyAlignment="1">
      <alignment horizontal="center" vertical="center"/>
    </xf>
    <xf numFmtId="0" fontId="0" fillId="7" borderId="0" xfId="0" applyFill="1"/>
    <xf numFmtId="10" fontId="8" fillId="0" borderId="0" xfId="0" applyNumberFormat="1" applyFont="1" applyAlignment="1">
      <alignment horizontal="right" vertical="center" indent="1"/>
    </xf>
    <xf numFmtId="2" fontId="0" fillId="0" borderId="0" xfId="0" applyNumberFormat="1"/>
    <xf numFmtId="0" fontId="12" fillId="0" borderId="0" xfId="0" applyFont="1" applyAlignment="1">
      <alignment vertical="center"/>
    </xf>
    <xf numFmtId="166" fontId="0" fillId="0" borderId="0" xfId="0" applyNumberFormat="1"/>
    <xf numFmtId="167" fontId="5" fillId="6" borderId="1" xfId="0" applyNumberFormat="1" applyFont="1" applyFill="1" applyBorder="1" applyAlignment="1">
      <alignment horizontal="left" vertical="center"/>
    </xf>
    <xf numFmtId="167" fontId="5" fillId="10" borderId="1" xfId="0" applyNumberFormat="1" applyFont="1" applyFill="1" applyBorder="1" applyAlignment="1">
      <alignment horizontal="left" vertical="center"/>
    </xf>
    <xf numFmtId="0" fontId="0" fillId="0" borderId="0" xfId="0" applyAlignment="1">
      <alignment vertical="center"/>
    </xf>
    <xf numFmtId="0" fontId="23" fillId="13" borderId="0" xfId="0" applyFont="1" applyFill="1" applyAlignment="1">
      <alignment horizontal="center" vertical="center"/>
    </xf>
    <xf numFmtId="0" fontId="20" fillId="0" borderId="0" xfId="0" applyFont="1" applyAlignment="1">
      <alignment horizontal="center" vertical="center" wrapText="1"/>
    </xf>
    <xf numFmtId="0" fontId="22" fillId="13" borderId="0" xfId="0" applyFont="1" applyFill="1" applyAlignment="1">
      <alignment horizontal="center"/>
    </xf>
    <xf numFmtId="0" fontId="21" fillId="14" borderId="2" xfId="0" applyFont="1" applyFill="1" applyBorder="1" applyAlignment="1">
      <alignment horizontal="center" vertical="center"/>
    </xf>
    <xf numFmtId="0" fontId="20" fillId="0" borderId="2" xfId="0" applyFont="1" applyBorder="1" applyAlignment="1">
      <alignment horizontal="center" vertical="center"/>
    </xf>
    <xf numFmtId="0" fontId="20" fillId="16" borderId="2" xfId="0" applyFont="1" applyFill="1" applyBorder="1" applyAlignment="1">
      <alignment horizontal="center" vertical="center"/>
    </xf>
    <xf numFmtId="0" fontId="1" fillId="13" borderId="0" xfId="0" applyFont="1" applyFill="1" applyAlignment="1">
      <alignment horizontal="center" vertical="center"/>
    </xf>
    <xf numFmtId="0" fontId="21" fillId="12" borderId="2" xfId="0" applyFont="1" applyFill="1" applyBorder="1" applyAlignment="1">
      <alignment horizontal="center"/>
    </xf>
    <xf numFmtId="0" fontId="20" fillId="12" borderId="2" xfId="0" applyFont="1" applyFill="1" applyBorder="1" applyAlignment="1">
      <alignment horizontal="center"/>
    </xf>
    <xf numFmtId="0" fontId="20" fillId="0" borderId="2" xfId="0" applyFont="1" applyBorder="1" applyAlignment="1">
      <alignment horizontal="center" vertical="center" wrapText="1"/>
    </xf>
    <xf numFmtId="0" fontId="20" fillId="15" borderId="2" xfId="0" applyFont="1" applyFill="1" applyBorder="1" applyAlignment="1">
      <alignment horizontal="center" vertical="center" wrapText="1"/>
    </xf>
    <xf numFmtId="0" fontId="20" fillId="16" borderId="2" xfId="0" applyFont="1" applyFill="1" applyBorder="1" applyAlignment="1">
      <alignment horizontal="center" vertical="center" wrapText="1"/>
    </xf>
    <xf numFmtId="0" fontId="20" fillId="14" borderId="2" xfId="0" applyFont="1" applyFill="1" applyBorder="1" applyAlignment="1">
      <alignment horizontal="center" vertical="center"/>
    </xf>
    <xf numFmtId="0" fontId="17" fillId="13" borderId="0" xfId="0" applyFont="1" applyFill="1" applyAlignment="1">
      <alignment horizontal="center" vertical="center"/>
    </xf>
    <xf numFmtId="0" fontId="18" fillId="11" borderId="0" xfId="0" applyFont="1" applyFill="1" applyAlignment="1">
      <alignment horizontal="center"/>
    </xf>
    <xf numFmtId="0" fontId="0" fillId="11" borderId="0" xfId="0" applyFill="1" applyAlignment="1">
      <alignment horizontal="center"/>
    </xf>
    <xf numFmtId="0" fontId="19" fillId="13" borderId="0" xfId="0" applyFont="1" applyFill="1" applyAlignment="1">
      <alignment horizontal="center" vertical="center"/>
    </xf>
    <xf numFmtId="0" fontId="9" fillId="12" borderId="0" xfId="0" applyFont="1" applyFill="1" applyAlignment="1">
      <alignment horizontal="center" vertical="center" wrapText="1"/>
    </xf>
    <xf numFmtId="0" fontId="11" fillId="12" borderId="0" xfId="0" applyFont="1" applyFill="1" applyAlignment="1">
      <alignment horizontal="center" vertical="center" wrapText="1"/>
    </xf>
    <xf numFmtId="0" fontId="19" fillId="13" borderId="0" xfId="0" applyFont="1" applyFill="1" applyAlignment="1">
      <alignment horizontal="center"/>
    </xf>
    <xf numFmtId="0" fontId="16" fillId="12" borderId="2" xfId="0" applyFont="1" applyFill="1" applyBorder="1" applyAlignment="1">
      <alignment horizontal="center"/>
    </xf>
    <xf numFmtId="0" fontId="0" fillId="12" borderId="2" xfId="0" applyFill="1" applyBorder="1" applyAlignment="1">
      <alignment horizontal="center"/>
    </xf>
    <xf numFmtId="0" fontId="2" fillId="2" borderId="0" xfId="0" applyFont="1" applyFill="1" applyAlignment="1">
      <alignment horizontal="center" vertical="center"/>
    </xf>
    <xf numFmtId="0" fontId="3" fillId="8" borderId="0" xfId="0" applyFont="1" applyFill="1" applyAlignment="1">
      <alignment horizontal="center" vertical="center" wrapText="1"/>
    </xf>
    <xf numFmtId="0" fontId="10" fillId="0" borderId="0" xfId="0" applyFont="1"/>
    <xf numFmtId="0" fontId="4" fillId="9" borderId="0" xfId="0" applyFont="1" applyFill="1" applyAlignment="1">
      <alignment horizontal="center" vertical="center" wrapText="1"/>
    </xf>
    <xf numFmtId="0" fontId="0" fillId="0" borderId="0" xfId="0"/>
    <xf numFmtId="0" fontId="14" fillId="8" borderId="0" xfId="0" applyFont="1" applyFill="1" applyAlignment="1">
      <alignment horizontal="center" vertical="center" wrapText="1"/>
    </xf>
    <xf numFmtId="0" fontId="15" fillId="0" borderId="0" xfId="0" applyFont="1" applyAlignment="1">
      <alignment horizontal="center"/>
    </xf>
    <xf numFmtId="0" fontId="0" fillId="0" borderId="0" xfId="0" applyAlignment="1">
      <alignment horizontal="center"/>
    </xf>
    <xf numFmtId="0" fontId="11" fillId="0" borderId="2" xfId="0" applyFont="1" applyBorder="1" applyAlignment="1">
      <alignment vertical="center" wrapText="1"/>
    </xf>
    <xf numFmtId="14" fontId="11" fillId="0" borderId="2" xfId="0" applyNumberFormat="1" applyFont="1" applyBorder="1" applyAlignment="1">
      <alignment vertical="center" wrapText="1"/>
    </xf>
    <xf numFmtId="174" fontId="11" fillId="0" borderId="2" xfId="0" applyNumberFormat="1" applyFont="1" applyBorder="1" applyAlignment="1">
      <alignment vertical="center" wrapText="1"/>
    </xf>
    <xf numFmtId="0" fontId="1" fillId="13" borderId="0" xfId="0" applyFont="1" applyFill="1" applyAlignment="1">
      <alignment horizontal="center" vertical="center" wrapText="1"/>
    </xf>
    <xf numFmtId="0" fontId="16" fillId="14" borderId="2" xfId="0" applyFont="1" applyFill="1" applyBorder="1" applyAlignment="1">
      <alignment horizontal="left"/>
    </xf>
    <xf numFmtId="173" fontId="0" fillId="0" borderId="2" xfId="0" applyNumberFormat="1" applyBorder="1" applyAlignment="1">
      <alignment horizontal="center"/>
    </xf>
    <xf numFmtId="0" fontId="0" fillId="15" borderId="2" xfId="0" applyFill="1" applyBorder="1" applyAlignment="1">
      <alignment horizontal="center"/>
    </xf>
    <xf numFmtId="10" fontId="12" fillId="0" borderId="2" xfId="0" applyNumberFormat="1" applyFont="1" applyBorder="1" applyAlignment="1">
      <alignment horizontal="center" vertical="center"/>
    </xf>
    <xf numFmtId="0" fontId="0" fillId="0" borderId="2" xfId="0" applyBorder="1"/>
    <xf numFmtId="0" fontId="13" fillId="0" borderId="2" xfId="0" applyFont="1" applyBorder="1"/>
    <xf numFmtId="174" fontId="0" fillId="0" borderId="2" xfId="0" applyNumberFormat="1" applyBorder="1"/>
  </cellXfs>
  <cellStyles count="1">
    <cellStyle name="Normal" xfId="0" builtinId="0"/>
  </cellStyles>
  <dxfs count="25">
    <dxf>
      <font>
        <b/>
        <color rgb="FF1D4ED8"/>
      </font>
      <fill>
        <patternFill patternType="solid">
          <fgColor rgb="FFDBEAFE"/>
        </patternFill>
      </fill>
    </dxf>
    <dxf>
      <font>
        <b/>
        <color rgb="FF1A5E1A"/>
      </font>
      <fill>
        <patternFill patternType="solid">
          <fgColor rgb="FFC6EFCE"/>
        </patternFill>
      </fill>
    </dxf>
    <dxf>
      <font>
        <b/>
        <color rgb="FF7D5A00"/>
      </font>
      <fill>
        <patternFill patternType="solid">
          <fgColor rgb="FFFFEB9C"/>
        </patternFill>
      </fill>
    </dxf>
    <dxf>
      <font>
        <b/>
        <color rgb="FF9C0006"/>
      </font>
      <fill>
        <patternFill patternType="solid">
          <fgColor rgb="FFFFC7CE"/>
        </patternFill>
      </fill>
    </dxf>
    <dxf>
      <font>
        <b/>
        <color rgb="FF1A5E1A"/>
      </font>
      <fill>
        <patternFill patternType="solid">
          <fgColor rgb="FFC6EFCE"/>
        </patternFill>
      </fill>
    </dxf>
    <dxf>
      <font>
        <b/>
        <color rgb="FF1A5E1A"/>
      </font>
      <fill>
        <patternFill patternType="solid">
          <fgColor rgb="FFC6EFCE"/>
        </patternFill>
      </fill>
    </dxf>
    <dxf>
      <font>
        <b/>
        <color rgb="FF9C0006"/>
      </font>
      <fill>
        <patternFill patternType="solid">
          <fgColor rgb="FFFFC7CE"/>
        </patternFill>
      </fill>
    </dxf>
    <dxf>
      <font>
        <b/>
        <color rgb="FF9C0006"/>
      </font>
      <fill>
        <patternFill patternType="solid">
          <fgColor rgb="FFFFC7CE"/>
        </patternFill>
      </fill>
    </dxf>
    <dxf>
      <font>
        <b/>
        <color rgb="FF7D5A00"/>
      </font>
      <fill>
        <patternFill patternType="solid">
          <fgColor rgb="FFFFEB9C"/>
        </patternFill>
      </fill>
    </dxf>
    <dxf>
      <font>
        <b/>
        <color rgb="FF1D4ED8"/>
      </font>
      <fill>
        <patternFill patternType="solid">
          <fgColor rgb="FFDBEAFE"/>
        </patternFill>
      </fill>
    </dxf>
    <dxf>
      <font>
        <b/>
        <color rgb="FF1A5E1A"/>
      </font>
      <fill>
        <patternFill patternType="solid">
          <fgColor rgb="FFC6EFCE"/>
        </patternFill>
      </fill>
    </dxf>
    <dxf>
      <font>
        <strike val="0"/>
        <outline val="0"/>
        <shadow val="0"/>
        <u val="none"/>
        <vertAlign val="baseline"/>
        <sz val="10"/>
        <color theme="1"/>
        <name val="Arial"/>
        <family val="2"/>
        <scheme val="none"/>
      </font>
      <numFmt numFmtId="174" formatCode="&quot;$&quot;#,##0"/>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numFmt numFmtId="19" formatCode="m/d/yyyy"/>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Arial"/>
        <family val="2"/>
        <scheme val="none"/>
      </font>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rgb="FF0070C0"/>
        </patternFill>
      </fill>
      <alignment horizontal="center" vertical="bottom" textRotation="0" wrapText="0" indent="0" justifyLastLine="0" shrinkToFit="0" readingOrder="0"/>
    </dxf>
  </dxfs>
  <tableStyles count="0" defaultTableStyle="TableStyleMedium2" defaultPivotStyle="PivotStyleLight16"/>
  <colors>
    <mruColors>
      <color rgb="FF1F38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'KPI Dashboard'!$B$9</c:f>
              <c:strCache>
                <c:ptCount val="1"/>
                <c:pt idx="0">
                  <c:v>Count</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A48-4721-BA38-2B842F5E05F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6A48-4721-BA38-2B842F5E05F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48-4721-BA38-2B842F5E05F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 Dashboard'!$A$10:$A$12</c:f>
              <c:strCache>
                <c:ptCount val="3"/>
                <c:pt idx="0">
                  <c:v>On Time</c:v>
                </c:pt>
                <c:pt idx="1">
                  <c:v>Late</c:v>
                </c:pt>
                <c:pt idx="2">
                  <c:v>Pending</c:v>
                </c:pt>
              </c:strCache>
            </c:strRef>
          </c:cat>
          <c:val>
            <c:numRef>
              <c:f>'KPI Dashboard'!$B$10:$B$12</c:f>
              <c:numCache>
                <c:formatCode>General</c:formatCode>
                <c:ptCount val="3"/>
                <c:pt idx="0">
                  <c:v>19</c:v>
                </c:pt>
                <c:pt idx="1">
                  <c:v>4</c:v>
                </c:pt>
                <c:pt idx="2">
                  <c:v>7</c:v>
                </c:pt>
              </c:numCache>
            </c:numRef>
          </c:val>
          <c:extLst>
            <c:ext xmlns:c16="http://schemas.microsoft.com/office/drawing/2014/chart" uri="{C3380CC4-5D6E-409C-BE32-E72D297353CC}">
              <c16:uniqueId val="{00000000-6A48-4721-BA38-2B842F5E05F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Clients by Job Value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 Dashboard'!$B$20</c:f>
              <c:strCache>
                <c:ptCount val="1"/>
                <c:pt idx="0">
                  <c:v>Job Value </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Dashboard'!$A$21:$A$25</c:f>
              <c:strCache>
                <c:ptCount val="5"/>
                <c:pt idx="0">
                  <c:v>Donald Young</c:v>
                </c:pt>
                <c:pt idx="1">
                  <c:v>Matthew Clark</c:v>
                </c:pt>
                <c:pt idx="2">
                  <c:v>Michael Brown</c:v>
                </c:pt>
                <c:pt idx="3">
                  <c:v>Thomas Harris</c:v>
                </c:pt>
                <c:pt idx="4">
                  <c:v>Diana Foster</c:v>
                </c:pt>
              </c:strCache>
            </c:strRef>
          </c:cat>
          <c:val>
            <c:numRef>
              <c:f>'KPI Dashboard'!$B$21:$B$25</c:f>
              <c:numCache>
                <c:formatCode>"$"#,##0</c:formatCode>
                <c:ptCount val="5"/>
                <c:pt idx="0">
                  <c:v>14000</c:v>
                </c:pt>
                <c:pt idx="1">
                  <c:v>13500</c:v>
                </c:pt>
                <c:pt idx="2">
                  <c:v>12000</c:v>
                </c:pt>
                <c:pt idx="3">
                  <c:v>11500</c:v>
                </c:pt>
                <c:pt idx="4">
                  <c:v>7800</c:v>
                </c:pt>
              </c:numCache>
            </c:numRef>
          </c:val>
          <c:extLst>
            <c:ext xmlns:c16="http://schemas.microsoft.com/office/drawing/2014/chart" uri="{C3380CC4-5D6E-409C-BE32-E72D297353CC}">
              <c16:uniqueId val="{00000000-36A4-41A8-8085-2ACF2F51E9C8}"/>
            </c:ext>
          </c:extLst>
        </c:ser>
        <c:dLbls>
          <c:showLegendKey val="0"/>
          <c:showVal val="0"/>
          <c:showCatName val="0"/>
          <c:showSerName val="0"/>
          <c:showPercent val="0"/>
          <c:showBubbleSize val="0"/>
        </c:dLbls>
        <c:gapWidth val="150"/>
        <c:shape val="box"/>
        <c:axId val="1808379712"/>
        <c:axId val="1808373952"/>
        <c:axId val="0"/>
      </c:bar3DChart>
      <c:catAx>
        <c:axId val="1808379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73952"/>
        <c:crosses val="autoZero"/>
        <c:auto val="1"/>
        <c:lblAlgn val="ctr"/>
        <c:lblOffset val="100"/>
        <c:noMultiLvlLbl val="0"/>
      </c:catAx>
      <c:valAx>
        <c:axId val="1808373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37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Job Status Overview</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'KPI Dashboard'!$B$38</c:f>
              <c:strCache>
                <c:ptCount val="1"/>
                <c:pt idx="0">
                  <c:v>Count</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DC7-4590-9DCC-157AB526070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9DC7-4590-9DCC-157AB526070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DC7-4590-9DCC-157AB526070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9DC7-4590-9DCC-157AB52607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 Dashboard'!$A$39:$A$42</c:f>
              <c:strCache>
                <c:ptCount val="4"/>
                <c:pt idx="0">
                  <c:v>Completed</c:v>
                </c:pt>
                <c:pt idx="1">
                  <c:v>In Progress</c:v>
                </c:pt>
                <c:pt idx="2">
                  <c:v>Scheduled</c:v>
                </c:pt>
                <c:pt idx="3">
                  <c:v>Cancelled</c:v>
                </c:pt>
              </c:strCache>
            </c:strRef>
          </c:cat>
          <c:val>
            <c:numRef>
              <c:f>'KPI Dashboard'!$B$39:$B$42</c:f>
              <c:numCache>
                <c:formatCode>General</c:formatCode>
                <c:ptCount val="4"/>
                <c:pt idx="0">
                  <c:v>17</c:v>
                </c:pt>
                <c:pt idx="1">
                  <c:v>5</c:v>
                </c:pt>
                <c:pt idx="2">
                  <c:v>6</c:v>
                </c:pt>
                <c:pt idx="3">
                  <c:v>2</c:v>
                </c:pt>
              </c:numCache>
            </c:numRef>
          </c:val>
          <c:extLst>
            <c:ext xmlns:c16="http://schemas.microsoft.com/office/drawing/2014/chart" uri="{C3380CC4-5D6E-409C-BE32-E72D297353CC}">
              <c16:uniqueId val="{00000000-9DC7-4590-9DCC-157AB526070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335870516185478"/>
          <c:y val="0.14393518518518519"/>
          <c:w val="0.82664129483814519"/>
          <c:h val="0.72125801983085447"/>
        </c:manualLayout>
      </c:layout>
      <c:lineChart>
        <c:grouping val="stacked"/>
        <c:varyColors val="0"/>
        <c:ser>
          <c:idx val="1"/>
          <c:order val="1"/>
          <c:spPr>
            <a:ln w="28575" cap="rnd">
              <a:solidFill>
                <a:schemeClr val="accent2"/>
              </a:solidFill>
              <a:round/>
            </a:ln>
            <a:effectLst/>
          </c:spPr>
          <c:marker>
            <c:symbol val="none"/>
          </c:marker>
          <c:cat>
            <c:strRef>
              <c:f>'KPI Dashboard'!$Z$7:$Z$10</c:f>
              <c:strCache>
                <c:ptCount val="4"/>
                <c:pt idx="0">
                  <c:v>Week 1  Revenue</c:v>
                </c:pt>
                <c:pt idx="1">
                  <c:v>Week 2  Revenue</c:v>
                </c:pt>
                <c:pt idx="2">
                  <c:v>Week 3  Revenue</c:v>
                </c:pt>
                <c:pt idx="3">
                  <c:v>Week 4  Revenue</c:v>
                </c:pt>
              </c:strCache>
            </c:strRef>
          </c:cat>
          <c:val>
            <c:numRef>
              <c:f>'KPI Dashboard'!$AB$7:$AB$10</c:f>
              <c:numCache>
                <c:formatCode>"$"#,##0.0</c:formatCode>
                <c:ptCount val="4"/>
                <c:pt idx="0">
                  <c:v>32750</c:v>
                </c:pt>
                <c:pt idx="1">
                  <c:v>47600</c:v>
                </c:pt>
                <c:pt idx="2">
                  <c:v>41400</c:v>
                </c:pt>
                <c:pt idx="3">
                  <c:v>47900</c:v>
                </c:pt>
              </c:numCache>
            </c:numRef>
          </c:val>
          <c:smooth val="0"/>
          <c:extLst>
            <c:ext xmlns:c16="http://schemas.microsoft.com/office/drawing/2014/chart" uri="{C3380CC4-5D6E-409C-BE32-E72D297353CC}">
              <c16:uniqueId val="{00000001-5F49-4E05-A106-5B492F98FF76}"/>
            </c:ext>
          </c:extLst>
        </c:ser>
        <c:dLbls>
          <c:showLegendKey val="0"/>
          <c:showVal val="0"/>
          <c:showCatName val="0"/>
          <c:showSerName val="0"/>
          <c:showPercent val="0"/>
          <c:showBubbleSize val="0"/>
        </c:dLbls>
        <c:smooth val="0"/>
        <c:axId val="932147087"/>
        <c:axId val="932148527"/>
        <c:extLst>
          <c:ext xmlns:c15="http://schemas.microsoft.com/office/drawing/2012/chart" uri="{02D57815-91ED-43cb-92C2-25804820EDAC}">
            <c15:filteredLineSeries>
              <c15:ser>
                <c:idx val="0"/>
                <c:order val="0"/>
                <c:spPr>
                  <a:ln w="28575" cap="rnd">
                    <a:solidFill>
                      <a:schemeClr val="accent1"/>
                    </a:solidFill>
                    <a:round/>
                  </a:ln>
                  <a:effectLst/>
                </c:spPr>
                <c:marker>
                  <c:symbol val="none"/>
                </c:marker>
                <c:cat>
                  <c:strRef>
                    <c:extLst>
                      <c:ext uri="{02D57815-91ED-43cb-92C2-25804820EDAC}">
                        <c15:formulaRef>
                          <c15:sqref>'KPI Dashboard'!$Z$7:$Z$10</c15:sqref>
                        </c15:formulaRef>
                      </c:ext>
                    </c:extLst>
                    <c:strCache>
                      <c:ptCount val="4"/>
                      <c:pt idx="0">
                        <c:v>Week 1  Revenue</c:v>
                      </c:pt>
                      <c:pt idx="1">
                        <c:v>Week 2  Revenue</c:v>
                      </c:pt>
                      <c:pt idx="2">
                        <c:v>Week 3  Revenue</c:v>
                      </c:pt>
                      <c:pt idx="3">
                        <c:v>Week 4  Revenue</c:v>
                      </c:pt>
                    </c:strCache>
                  </c:strRef>
                </c:cat>
                <c:val>
                  <c:numRef>
                    <c:extLst>
                      <c:ext uri="{02D57815-91ED-43cb-92C2-25804820EDAC}">
                        <c15:formulaRef>
                          <c15:sqref>'KPI Dashboard'!$AA$7:$AA$10</c15:sqref>
                        </c15:formulaRef>
                      </c:ext>
                    </c:extLst>
                    <c:numCache>
                      <c:formatCode>General</c:formatCode>
                      <c:ptCount val="4"/>
                    </c:numCache>
                  </c:numRef>
                </c:val>
                <c:smooth val="0"/>
                <c:extLst>
                  <c:ext xmlns:c16="http://schemas.microsoft.com/office/drawing/2014/chart" uri="{C3380CC4-5D6E-409C-BE32-E72D297353CC}">
                    <c16:uniqueId val="{00000000-5F49-4E05-A106-5B492F98FF76}"/>
                  </c:ext>
                </c:extLst>
              </c15:ser>
            </c15:filteredLineSeries>
          </c:ext>
        </c:extLst>
      </c:lineChart>
      <c:catAx>
        <c:axId val="93214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48527"/>
        <c:crosses val="autoZero"/>
        <c:auto val="1"/>
        <c:lblAlgn val="ctr"/>
        <c:lblOffset val="100"/>
        <c:noMultiLvlLbl val="0"/>
      </c:catAx>
      <c:valAx>
        <c:axId val="9321485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2147087"/>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57898</xdr:colOff>
      <xdr:row>4</xdr:row>
      <xdr:rowOff>10091</xdr:rowOff>
    </xdr:from>
    <xdr:to>
      <xdr:col>11</xdr:col>
      <xdr:colOff>48373</xdr:colOff>
      <xdr:row>18</xdr:row>
      <xdr:rowOff>176894</xdr:rowOff>
    </xdr:to>
    <xdr:graphicFrame macro="">
      <xdr:nvGraphicFramePr>
        <xdr:cNvPr id="3" name="Chart 2">
          <a:extLst>
            <a:ext uri="{FF2B5EF4-FFF2-40B4-BE49-F238E27FC236}">
              <a16:creationId xmlns:a16="http://schemas.microsoft.com/office/drawing/2014/main" id="{DAD2FBC2-5EB0-6789-8923-02A421525B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225592</xdr:colOff>
      <xdr:row>20</xdr:row>
      <xdr:rowOff>59318</xdr:rowOff>
    </xdr:from>
    <xdr:to>
      <xdr:col>10</xdr:col>
      <xdr:colOff>552368</xdr:colOff>
      <xdr:row>35</xdr:row>
      <xdr:rowOff>19933</xdr:rowOff>
    </xdr:to>
    <xdr:graphicFrame macro="">
      <xdr:nvGraphicFramePr>
        <xdr:cNvPr id="5" name="Chart 4">
          <a:extLst>
            <a:ext uri="{FF2B5EF4-FFF2-40B4-BE49-F238E27FC236}">
              <a16:creationId xmlns:a16="http://schemas.microsoft.com/office/drawing/2014/main" id="{FBC8D4AA-B3B1-9BD2-00C4-FC0DA6335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168326</xdr:colOff>
      <xdr:row>36</xdr:row>
      <xdr:rowOff>140305</xdr:rowOff>
    </xdr:from>
    <xdr:to>
      <xdr:col>10</xdr:col>
      <xdr:colOff>506992</xdr:colOff>
      <xdr:row>51</xdr:row>
      <xdr:rowOff>162077</xdr:rowOff>
    </xdr:to>
    <xdr:graphicFrame macro="">
      <xdr:nvGraphicFramePr>
        <xdr:cNvPr id="6" name="Chart 5">
          <a:extLst>
            <a:ext uri="{FF2B5EF4-FFF2-40B4-BE49-F238E27FC236}">
              <a16:creationId xmlns:a16="http://schemas.microsoft.com/office/drawing/2014/main" id="{7ABA089E-C197-5915-88C8-A8BA71179E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23975</xdr:colOff>
      <xdr:row>5</xdr:row>
      <xdr:rowOff>2073</xdr:rowOff>
    </xdr:from>
    <xdr:to>
      <xdr:col>35</xdr:col>
      <xdr:colOff>332403</xdr:colOff>
      <xdr:row>19</xdr:row>
      <xdr:rowOff>56243</xdr:rowOff>
    </xdr:to>
    <xdr:graphicFrame macro="">
      <xdr:nvGraphicFramePr>
        <xdr:cNvPr id="7" name="Chart 6">
          <a:extLst>
            <a:ext uri="{FF2B5EF4-FFF2-40B4-BE49-F238E27FC236}">
              <a16:creationId xmlns:a16="http://schemas.microsoft.com/office/drawing/2014/main" id="{8792B5F3-3E13-DD14-EE2D-9D7CAE9A0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454339D-9FA5-4AA1-99C1-9B1B63393CD2}" name="Table5" displayName="Table5" ref="A2:L32" totalsRowShown="0" headerRowDxfId="24" dataDxfId="23">
  <autoFilter ref="A2:L32" xr:uid="{9454339D-9FA5-4AA1-99C1-9B1B63393CD2}"/>
  <tableColumns count="12">
    <tableColumn id="1" xr3:uid="{225FC80B-580C-42EE-87D0-A210F4C7D0FF}" name="Job ID" dataDxfId="22"/>
    <tableColumn id="2" xr3:uid="{AF761D34-BD19-4955-991F-CCA57357BFC6}" name="Client Name" dataDxfId="21"/>
    <tableColumn id="3" xr3:uid="{B65370EF-A1B3-4545-BCEE-73FA34756BA3}" name="Designer / Referral" dataDxfId="20"/>
    <tableColumn id="4" xr3:uid="{13D2486C-9935-45FE-BA5A-BF4847712104}" name="Job Type" dataDxfId="19"/>
    <tableColumn id="5" xr3:uid="{40AB0AE1-B510-4F4A-BF47-120F8444A6A4}" name="Origin City" dataDxfId="18"/>
    <tableColumn id="6" xr3:uid="{412E0684-B0DD-492F-BB17-0AE73E4F3C28}" name="Destination City" dataDxfId="17"/>
    <tableColumn id="7" xr3:uid="{346CFDC7-4928-47A9-8057-0D0D57F4E0C9}" name="Scheduled Date" dataDxfId="16"/>
    <tableColumn id="8" xr3:uid="{81A8EA35-E3C2-4DF5-AAB9-7A66ACBBC712}" name="Items Count" dataDxfId="15"/>
    <tableColumn id="9" xr3:uid="{282C8045-7903-496E-8712-C9F5826C5892}" name="Job Value ($)" dataDxfId="11"/>
    <tableColumn id="10" xr3:uid="{2AC6CA70-333E-45BB-ACE3-2A5B4DF2E113}" name="Crew Assigned" dataDxfId="14"/>
    <tableColumn id="11" xr3:uid="{9C74F5B6-3D26-408E-8C2F-AF9A9933F103}" name="Job Status" dataDxfId="13"/>
    <tableColumn id="12" xr3:uid="{057B152E-11B0-4E38-922E-6A1E1366090A}" name="Notes" dataDxfId="1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34597-740D-429D-8985-C378380A189E}">
  <sheetPr>
    <tabColor rgb="FF0070C0"/>
  </sheetPr>
  <dimension ref="A1:L32"/>
  <sheetViews>
    <sheetView tabSelected="1" zoomScale="86" zoomScaleNormal="66" workbookViewId="0">
      <selection activeCell="I3" sqref="I3"/>
    </sheetView>
  </sheetViews>
  <sheetFormatPr defaultRowHeight="14.5"/>
  <cols>
    <col min="1" max="1" width="13" bestFit="1" customWidth="1"/>
    <col min="2" max="2" width="20.7265625" bestFit="1" customWidth="1"/>
    <col min="3" max="3" width="19.26953125" customWidth="1"/>
    <col min="4" max="4" width="18.81640625" customWidth="1"/>
    <col min="5" max="5" width="18" customWidth="1"/>
    <col min="6" max="6" width="18.7265625" customWidth="1"/>
    <col min="7" max="7" width="16.6328125" customWidth="1"/>
    <col min="8" max="8" width="13.6328125" customWidth="1"/>
    <col min="9" max="9" width="13.81640625" customWidth="1"/>
    <col min="10" max="10" width="15.7265625" customWidth="1"/>
    <col min="11" max="11" width="16.6328125" bestFit="1" customWidth="1"/>
    <col min="12" max="12" width="18.26953125" bestFit="1" customWidth="1"/>
  </cols>
  <sheetData>
    <row r="1" spans="1:12" ht="35" customHeight="1">
      <c r="A1" s="46" t="s">
        <v>368</v>
      </c>
      <c r="B1" s="46"/>
      <c r="C1" s="46"/>
      <c r="D1" s="46"/>
      <c r="E1" s="46"/>
      <c r="F1" s="46"/>
      <c r="G1" s="46"/>
      <c r="H1" s="46"/>
      <c r="I1" s="46"/>
      <c r="J1" s="46"/>
      <c r="K1" s="46"/>
      <c r="L1" s="46"/>
    </row>
    <row r="2" spans="1:12" ht="22" customHeight="1">
      <c r="A2" s="1" t="s">
        <v>0</v>
      </c>
      <c r="B2" s="1" t="s">
        <v>1</v>
      </c>
      <c r="C2" s="1" t="s">
        <v>2</v>
      </c>
      <c r="D2" s="1" t="s">
        <v>3</v>
      </c>
      <c r="E2" s="1" t="s">
        <v>4</v>
      </c>
      <c r="F2" s="1" t="s">
        <v>5</v>
      </c>
      <c r="G2" s="1" t="s">
        <v>6</v>
      </c>
      <c r="H2" s="1" t="s">
        <v>7</v>
      </c>
      <c r="I2" s="1" t="s">
        <v>8</v>
      </c>
      <c r="J2" s="1" t="s">
        <v>9</v>
      </c>
      <c r="K2" s="1" t="s">
        <v>10</v>
      </c>
      <c r="L2" s="1" t="s">
        <v>11</v>
      </c>
    </row>
    <row r="3" spans="1:12">
      <c r="A3" s="54" t="s">
        <v>12</v>
      </c>
      <c r="B3" s="54" t="s">
        <v>13</v>
      </c>
      <c r="C3" s="54" t="s">
        <v>14</v>
      </c>
      <c r="D3" s="54" t="s">
        <v>15</v>
      </c>
      <c r="E3" s="54" t="s">
        <v>16</v>
      </c>
      <c r="F3" s="54" t="s">
        <v>17</v>
      </c>
      <c r="G3" s="55">
        <v>46174</v>
      </c>
      <c r="H3" s="54">
        <v>12</v>
      </c>
      <c r="I3" s="56">
        <v>3500</v>
      </c>
      <c r="J3" s="54" t="s">
        <v>18</v>
      </c>
      <c r="K3" s="54" t="s">
        <v>19</v>
      </c>
      <c r="L3" s="54" t="s">
        <v>20</v>
      </c>
    </row>
    <row r="4" spans="1:12">
      <c r="A4" s="54" t="s">
        <v>21</v>
      </c>
      <c r="B4" s="54" t="s">
        <v>22</v>
      </c>
      <c r="C4" s="54" t="s">
        <v>23</v>
      </c>
      <c r="D4" s="54" t="s">
        <v>24</v>
      </c>
      <c r="E4" s="54" t="s">
        <v>25</v>
      </c>
      <c r="F4" s="54" t="s">
        <v>26</v>
      </c>
      <c r="G4" s="55">
        <v>46175</v>
      </c>
      <c r="H4" s="54">
        <v>8</v>
      </c>
      <c r="I4" s="56">
        <v>5200</v>
      </c>
      <c r="J4" s="54" t="s">
        <v>27</v>
      </c>
      <c r="K4" s="54" t="s">
        <v>19</v>
      </c>
      <c r="L4" s="54" t="s">
        <v>28</v>
      </c>
    </row>
    <row r="5" spans="1:12">
      <c r="A5" s="54" t="s">
        <v>29</v>
      </c>
      <c r="B5" s="54" t="s">
        <v>30</v>
      </c>
      <c r="C5" s="54" t="s">
        <v>31</v>
      </c>
      <c r="D5" s="54" t="s">
        <v>15</v>
      </c>
      <c r="E5" s="54" t="s">
        <v>17</v>
      </c>
      <c r="F5" s="54" t="s">
        <v>32</v>
      </c>
      <c r="G5" s="55">
        <v>46176</v>
      </c>
      <c r="H5" s="54">
        <v>22</v>
      </c>
      <c r="I5" s="56">
        <v>4100</v>
      </c>
      <c r="J5" s="54" t="s">
        <v>33</v>
      </c>
      <c r="K5" s="54" t="s">
        <v>19</v>
      </c>
      <c r="L5" s="54" t="s">
        <v>20</v>
      </c>
    </row>
    <row r="6" spans="1:12">
      <c r="A6" s="54" t="s">
        <v>34</v>
      </c>
      <c r="B6" s="54" t="s">
        <v>35</v>
      </c>
      <c r="C6" s="54" t="s">
        <v>36</v>
      </c>
      <c r="D6" s="54" t="s">
        <v>37</v>
      </c>
      <c r="E6" s="54" t="s">
        <v>26</v>
      </c>
      <c r="F6" s="54" t="s">
        <v>16</v>
      </c>
      <c r="G6" s="55">
        <v>46177</v>
      </c>
      <c r="H6" s="54">
        <v>15</v>
      </c>
      <c r="I6" s="56">
        <v>2800</v>
      </c>
      <c r="J6" s="54" t="s">
        <v>18</v>
      </c>
      <c r="K6" s="54" t="s">
        <v>19</v>
      </c>
      <c r="L6" s="54" t="s">
        <v>38</v>
      </c>
    </row>
    <row r="7" spans="1:12">
      <c r="A7" s="54" t="s">
        <v>39</v>
      </c>
      <c r="B7" s="54" t="s">
        <v>40</v>
      </c>
      <c r="C7" s="54" t="s">
        <v>41</v>
      </c>
      <c r="D7" s="54" t="s">
        <v>42</v>
      </c>
      <c r="E7" s="54" t="s">
        <v>32</v>
      </c>
      <c r="F7" s="54" t="s">
        <v>25</v>
      </c>
      <c r="G7" s="55">
        <v>46178</v>
      </c>
      <c r="H7" s="54">
        <v>9</v>
      </c>
      <c r="I7" s="56">
        <v>1950</v>
      </c>
      <c r="J7" s="54" t="s">
        <v>27</v>
      </c>
      <c r="K7" s="54" t="s">
        <v>19</v>
      </c>
      <c r="L7" s="54" t="s">
        <v>20</v>
      </c>
    </row>
    <row r="8" spans="1:12">
      <c r="A8" s="54" t="s">
        <v>43</v>
      </c>
      <c r="B8" s="54" t="s">
        <v>44</v>
      </c>
      <c r="C8" s="54" t="s">
        <v>45</v>
      </c>
      <c r="D8" s="54" t="s">
        <v>15</v>
      </c>
      <c r="E8" s="54" t="s">
        <v>16</v>
      </c>
      <c r="F8" s="54" t="s">
        <v>26</v>
      </c>
      <c r="G8" s="55">
        <v>46179</v>
      </c>
      <c r="H8" s="54">
        <v>31</v>
      </c>
      <c r="I8" s="56">
        <v>6700</v>
      </c>
      <c r="J8" s="54" t="s">
        <v>33</v>
      </c>
      <c r="K8" s="54" t="s">
        <v>19</v>
      </c>
      <c r="L8" s="54" t="s">
        <v>46</v>
      </c>
    </row>
    <row r="9" spans="1:12">
      <c r="A9" s="54" t="s">
        <v>47</v>
      </c>
      <c r="B9" s="54" t="s">
        <v>48</v>
      </c>
      <c r="C9" s="54" t="s">
        <v>14</v>
      </c>
      <c r="D9" s="54" t="s">
        <v>24</v>
      </c>
      <c r="E9" s="54" t="s">
        <v>25</v>
      </c>
      <c r="F9" s="54" t="s">
        <v>17</v>
      </c>
      <c r="G9" s="55">
        <v>46180</v>
      </c>
      <c r="H9" s="54">
        <v>6</v>
      </c>
      <c r="I9" s="56">
        <v>8500</v>
      </c>
      <c r="J9" s="54" t="s">
        <v>18</v>
      </c>
      <c r="K9" s="54" t="s">
        <v>19</v>
      </c>
      <c r="L9" s="54" t="s">
        <v>49</v>
      </c>
    </row>
    <row r="10" spans="1:12">
      <c r="A10" s="54" t="s">
        <v>50</v>
      </c>
      <c r="B10" s="54" t="s">
        <v>51</v>
      </c>
      <c r="C10" s="54" t="s">
        <v>23</v>
      </c>
      <c r="D10" s="54" t="s">
        <v>52</v>
      </c>
      <c r="E10" s="54" t="s">
        <v>17</v>
      </c>
      <c r="F10" s="54" t="s">
        <v>16</v>
      </c>
      <c r="G10" s="55">
        <v>46181</v>
      </c>
      <c r="H10" s="54">
        <v>45</v>
      </c>
      <c r="I10" s="56">
        <v>12000</v>
      </c>
      <c r="J10" s="54" t="s">
        <v>27</v>
      </c>
      <c r="K10" s="54" t="s">
        <v>19</v>
      </c>
      <c r="L10" s="54" t="s">
        <v>20</v>
      </c>
    </row>
    <row r="11" spans="1:12">
      <c r="A11" s="54" t="s">
        <v>53</v>
      </c>
      <c r="B11" s="54" t="s">
        <v>54</v>
      </c>
      <c r="C11" s="54" t="s">
        <v>31</v>
      </c>
      <c r="D11" s="54" t="s">
        <v>15</v>
      </c>
      <c r="E11" s="54" t="s">
        <v>26</v>
      </c>
      <c r="F11" s="54" t="s">
        <v>32</v>
      </c>
      <c r="G11" s="55">
        <v>46182</v>
      </c>
      <c r="H11" s="54">
        <v>18</v>
      </c>
      <c r="I11" s="56">
        <v>3200</v>
      </c>
      <c r="J11" s="54" t="s">
        <v>33</v>
      </c>
      <c r="K11" s="54" t="s">
        <v>19</v>
      </c>
      <c r="L11" s="54" t="s">
        <v>28</v>
      </c>
    </row>
    <row r="12" spans="1:12">
      <c r="A12" s="54" t="s">
        <v>55</v>
      </c>
      <c r="B12" s="54" t="s">
        <v>56</v>
      </c>
      <c r="C12" s="54" t="s">
        <v>36</v>
      </c>
      <c r="D12" s="54" t="s">
        <v>37</v>
      </c>
      <c r="E12" s="54" t="s">
        <v>32</v>
      </c>
      <c r="F12" s="54" t="s">
        <v>25</v>
      </c>
      <c r="G12" s="55">
        <v>46183</v>
      </c>
      <c r="H12" s="54">
        <v>11</v>
      </c>
      <c r="I12" s="56">
        <v>4400</v>
      </c>
      <c r="J12" s="54" t="s">
        <v>18</v>
      </c>
      <c r="K12" s="54" t="s">
        <v>19</v>
      </c>
      <c r="L12" s="54" t="s">
        <v>20</v>
      </c>
    </row>
    <row r="13" spans="1:12">
      <c r="A13" s="54" t="s">
        <v>57</v>
      </c>
      <c r="B13" s="54" t="s">
        <v>58</v>
      </c>
      <c r="C13" s="54" t="s">
        <v>41</v>
      </c>
      <c r="D13" s="54" t="s">
        <v>42</v>
      </c>
      <c r="E13" s="54" t="s">
        <v>16</v>
      </c>
      <c r="F13" s="54" t="s">
        <v>17</v>
      </c>
      <c r="G13" s="55">
        <v>46184</v>
      </c>
      <c r="H13" s="54">
        <v>7</v>
      </c>
      <c r="I13" s="56">
        <v>1500</v>
      </c>
      <c r="J13" s="54" t="s">
        <v>27</v>
      </c>
      <c r="K13" s="54" t="s">
        <v>19</v>
      </c>
      <c r="L13" s="54" t="s">
        <v>20</v>
      </c>
    </row>
    <row r="14" spans="1:12">
      <c r="A14" s="54" t="s">
        <v>59</v>
      </c>
      <c r="B14" s="54" t="s">
        <v>60</v>
      </c>
      <c r="C14" s="54" t="s">
        <v>45</v>
      </c>
      <c r="D14" s="54" t="s">
        <v>15</v>
      </c>
      <c r="E14" s="54" t="s">
        <v>25</v>
      </c>
      <c r="F14" s="54" t="s">
        <v>26</v>
      </c>
      <c r="G14" s="55">
        <v>46185</v>
      </c>
      <c r="H14" s="54">
        <v>25</v>
      </c>
      <c r="I14" s="56">
        <v>5800</v>
      </c>
      <c r="J14" s="54" t="s">
        <v>33</v>
      </c>
      <c r="K14" s="54" t="s">
        <v>19</v>
      </c>
      <c r="L14" s="54" t="s">
        <v>61</v>
      </c>
    </row>
    <row r="15" spans="1:12">
      <c r="A15" s="54" t="s">
        <v>62</v>
      </c>
      <c r="B15" s="54" t="s">
        <v>63</v>
      </c>
      <c r="C15" s="54" t="s">
        <v>14</v>
      </c>
      <c r="D15" s="54" t="s">
        <v>24</v>
      </c>
      <c r="E15" s="54" t="s">
        <v>17</v>
      </c>
      <c r="F15" s="54" t="s">
        <v>32</v>
      </c>
      <c r="G15" s="55">
        <v>46186</v>
      </c>
      <c r="H15" s="54">
        <v>14</v>
      </c>
      <c r="I15" s="56">
        <v>9200</v>
      </c>
      <c r="J15" s="54" t="s">
        <v>18</v>
      </c>
      <c r="K15" s="54" t="s">
        <v>19</v>
      </c>
      <c r="L15" s="54" t="s">
        <v>64</v>
      </c>
    </row>
    <row r="16" spans="1:12">
      <c r="A16" s="54" t="s">
        <v>65</v>
      </c>
      <c r="B16" s="54" t="s">
        <v>66</v>
      </c>
      <c r="C16" s="54" t="s">
        <v>23</v>
      </c>
      <c r="D16" s="54" t="s">
        <v>52</v>
      </c>
      <c r="E16" s="54" t="s">
        <v>26</v>
      </c>
      <c r="F16" s="54" t="s">
        <v>16</v>
      </c>
      <c r="G16" s="55">
        <v>46187</v>
      </c>
      <c r="H16" s="54">
        <v>38</v>
      </c>
      <c r="I16" s="56">
        <v>11500</v>
      </c>
      <c r="J16" s="54" t="s">
        <v>27</v>
      </c>
      <c r="K16" s="54" t="s">
        <v>19</v>
      </c>
      <c r="L16" s="54" t="s">
        <v>20</v>
      </c>
    </row>
    <row r="17" spans="1:12">
      <c r="A17" s="54" t="s">
        <v>67</v>
      </c>
      <c r="B17" s="54" t="s">
        <v>68</v>
      </c>
      <c r="C17" s="54" t="s">
        <v>31</v>
      </c>
      <c r="D17" s="54" t="s">
        <v>15</v>
      </c>
      <c r="E17" s="54" t="s">
        <v>32</v>
      </c>
      <c r="F17" s="54" t="s">
        <v>25</v>
      </c>
      <c r="G17" s="55">
        <v>46188</v>
      </c>
      <c r="H17" s="54">
        <v>20</v>
      </c>
      <c r="I17" s="56">
        <v>4700</v>
      </c>
      <c r="J17" s="54" t="s">
        <v>33</v>
      </c>
      <c r="K17" s="54" t="s">
        <v>19</v>
      </c>
      <c r="L17" s="54" t="s">
        <v>28</v>
      </c>
    </row>
    <row r="18" spans="1:12">
      <c r="A18" s="54" t="s">
        <v>69</v>
      </c>
      <c r="B18" s="54" t="s">
        <v>70</v>
      </c>
      <c r="C18" s="54" t="s">
        <v>36</v>
      </c>
      <c r="D18" s="54" t="s">
        <v>37</v>
      </c>
      <c r="E18" s="54" t="s">
        <v>16</v>
      </c>
      <c r="F18" s="54" t="s">
        <v>17</v>
      </c>
      <c r="G18" s="55">
        <v>46189</v>
      </c>
      <c r="H18" s="54">
        <v>9</v>
      </c>
      <c r="I18" s="56">
        <v>3100</v>
      </c>
      <c r="J18" s="54" t="s">
        <v>18</v>
      </c>
      <c r="K18" s="54" t="s">
        <v>19</v>
      </c>
      <c r="L18" s="54" t="s">
        <v>20</v>
      </c>
    </row>
    <row r="19" spans="1:12">
      <c r="A19" s="54" t="s">
        <v>71</v>
      </c>
      <c r="B19" s="54" t="s">
        <v>72</v>
      </c>
      <c r="C19" s="54" t="s">
        <v>41</v>
      </c>
      <c r="D19" s="54" t="s">
        <v>42</v>
      </c>
      <c r="E19" s="54" t="s">
        <v>25</v>
      </c>
      <c r="F19" s="54" t="s">
        <v>26</v>
      </c>
      <c r="G19" s="55">
        <v>46190</v>
      </c>
      <c r="H19" s="54">
        <v>5</v>
      </c>
      <c r="I19" s="56">
        <v>1200</v>
      </c>
      <c r="J19" s="54" t="s">
        <v>27</v>
      </c>
      <c r="K19" s="54" t="s">
        <v>19</v>
      </c>
      <c r="L19" s="54" t="s">
        <v>20</v>
      </c>
    </row>
    <row r="20" spans="1:12">
      <c r="A20" s="54" t="s">
        <v>73</v>
      </c>
      <c r="B20" s="54" t="s">
        <v>74</v>
      </c>
      <c r="C20" s="54" t="s">
        <v>45</v>
      </c>
      <c r="D20" s="54" t="s">
        <v>15</v>
      </c>
      <c r="E20" s="54" t="s">
        <v>17</v>
      </c>
      <c r="F20" s="54" t="s">
        <v>32</v>
      </c>
      <c r="G20" s="55">
        <v>46191</v>
      </c>
      <c r="H20" s="54">
        <v>29</v>
      </c>
      <c r="I20" s="56">
        <v>6200</v>
      </c>
      <c r="J20" s="54" t="s">
        <v>33</v>
      </c>
      <c r="K20" s="54" t="s">
        <v>75</v>
      </c>
      <c r="L20" s="54" t="s">
        <v>76</v>
      </c>
    </row>
    <row r="21" spans="1:12">
      <c r="A21" s="54" t="s">
        <v>77</v>
      </c>
      <c r="B21" s="54" t="s">
        <v>78</v>
      </c>
      <c r="C21" s="54" t="s">
        <v>14</v>
      </c>
      <c r="D21" s="54" t="s">
        <v>24</v>
      </c>
      <c r="E21" s="54" t="s">
        <v>26</v>
      </c>
      <c r="F21" s="54" t="s">
        <v>16</v>
      </c>
      <c r="G21" s="55">
        <v>46192</v>
      </c>
      <c r="H21" s="54">
        <v>16</v>
      </c>
      <c r="I21" s="56">
        <v>7800</v>
      </c>
      <c r="J21" s="54" t="s">
        <v>18</v>
      </c>
      <c r="K21" s="54" t="s">
        <v>75</v>
      </c>
      <c r="L21" s="54" t="s">
        <v>79</v>
      </c>
    </row>
    <row r="22" spans="1:12">
      <c r="A22" s="54" t="s">
        <v>80</v>
      </c>
      <c r="B22" s="54" t="s">
        <v>81</v>
      </c>
      <c r="C22" s="54" t="s">
        <v>23</v>
      </c>
      <c r="D22" s="54" t="s">
        <v>52</v>
      </c>
      <c r="E22" s="54" t="s">
        <v>32</v>
      </c>
      <c r="F22" s="54" t="s">
        <v>25</v>
      </c>
      <c r="G22" s="55">
        <v>46193</v>
      </c>
      <c r="H22" s="54">
        <v>42</v>
      </c>
      <c r="I22" s="56">
        <v>13500</v>
      </c>
      <c r="J22" s="54" t="s">
        <v>27</v>
      </c>
      <c r="K22" s="54" t="s">
        <v>75</v>
      </c>
      <c r="L22" s="54" t="s">
        <v>82</v>
      </c>
    </row>
    <row r="23" spans="1:12">
      <c r="A23" s="54" t="s">
        <v>83</v>
      </c>
      <c r="B23" s="54" t="s">
        <v>84</v>
      </c>
      <c r="C23" s="54" t="s">
        <v>31</v>
      </c>
      <c r="D23" s="54" t="s">
        <v>15</v>
      </c>
      <c r="E23" s="54" t="s">
        <v>16</v>
      </c>
      <c r="F23" s="54" t="s">
        <v>17</v>
      </c>
      <c r="G23" s="55">
        <v>46194</v>
      </c>
      <c r="H23" s="54">
        <v>23</v>
      </c>
      <c r="I23" s="56">
        <v>4900</v>
      </c>
      <c r="J23" s="54" t="s">
        <v>33</v>
      </c>
      <c r="K23" s="54" t="s">
        <v>75</v>
      </c>
      <c r="L23" s="54" t="s">
        <v>38</v>
      </c>
    </row>
    <row r="24" spans="1:12">
      <c r="A24" s="54" t="s">
        <v>85</v>
      </c>
      <c r="B24" s="54" t="s">
        <v>86</v>
      </c>
      <c r="C24" s="54" t="s">
        <v>36</v>
      </c>
      <c r="D24" s="54" t="s">
        <v>37</v>
      </c>
      <c r="E24" s="54" t="s">
        <v>25</v>
      </c>
      <c r="F24" s="54" t="s">
        <v>26</v>
      </c>
      <c r="G24" s="55">
        <v>46195</v>
      </c>
      <c r="H24" s="54">
        <v>10</v>
      </c>
      <c r="I24" s="56">
        <v>2600</v>
      </c>
      <c r="J24" s="54" t="s">
        <v>18</v>
      </c>
      <c r="K24" s="54" t="s">
        <v>75</v>
      </c>
      <c r="L24" s="54" t="s">
        <v>20</v>
      </c>
    </row>
    <row r="25" spans="1:12">
      <c r="A25" s="54" t="s">
        <v>87</v>
      </c>
      <c r="B25" s="54" t="s">
        <v>88</v>
      </c>
      <c r="C25" s="54" t="s">
        <v>41</v>
      </c>
      <c r="D25" s="54" t="s">
        <v>42</v>
      </c>
      <c r="E25" s="54" t="s">
        <v>17</v>
      </c>
      <c r="F25" s="54" t="s">
        <v>32</v>
      </c>
      <c r="G25" s="55">
        <v>46196</v>
      </c>
      <c r="H25" s="54">
        <v>6</v>
      </c>
      <c r="I25" s="56">
        <v>1800</v>
      </c>
      <c r="J25" s="54" t="s">
        <v>27</v>
      </c>
      <c r="K25" s="54" t="s">
        <v>89</v>
      </c>
      <c r="L25" s="54" t="s">
        <v>90</v>
      </c>
    </row>
    <row r="26" spans="1:12">
      <c r="A26" s="54" t="s">
        <v>91</v>
      </c>
      <c r="B26" s="54" t="s">
        <v>92</v>
      </c>
      <c r="C26" s="54" t="s">
        <v>45</v>
      </c>
      <c r="D26" s="54" t="s">
        <v>15</v>
      </c>
      <c r="E26" s="54" t="s">
        <v>26</v>
      </c>
      <c r="F26" s="54" t="s">
        <v>16</v>
      </c>
      <c r="G26" s="55">
        <v>46197</v>
      </c>
      <c r="H26" s="54">
        <v>33</v>
      </c>
      <c r="I26" s="56">
        <v>7100</v>
      </c>
      <c r="J26" s="54" t="s">
        <v>33</v>
      </c>
      <c r="K26" s="54" t="s">
        <v>89</v>
      </c>
      <c r="L26" s="54" t="s">
        <v>90</v>
      </c>
    </row>
    <row r="27" spans="1:12">
      <c r="A27" s="54" t="s">
        <v>93</v>
      </c>
      <c r="B27" s="54" t="s">
        <v>94</v>
      </c>
      <c r="C27" s="54" t="s">
        <v>14</v>
      </c>
      <c r="D27" s="54" t="s">
        <v>24</v>
      </c>
      <c r="E27" s="54" t="s">
        <v>32</v>
      </c>
      <c r="F27" s="54" t="s">
        <v>25</v>
      </c>
      <c r="G27" s="55">
        <v>46198</v>
      </c>
      <c r="H27" s="54">
        <v>18</v>
      </c>
      <c r="I27" s="56">
        <v>9800</v>
      </c>
      <c r="J27" s="54" t="s">
        <v>18</v>
      </c>
      <c r="K27" s="54" t="s">
        <v>89</v>
      </c>
      <c r="L27" s="54" t="s">
        <v>95</v>
      </c>
    </row>
    <row r="28" spans="1:12">
      <c r="A28" s="54" t="s">
        <v>96</v>
      </c>
      <c r="B28" s="54" t="s">
        <v>97</v>
      </c>
      <c r="C28" s="54" t="s">
        <v>23</v>
      </c>
      <c r="D28" s="54" t="s">
        <v>52</v>
      </c>
      <c r="E28" s="54" t="s">
        <v>16</v>
      </c>
      <c r="F28" s="54" t="s">
        <v>17</v>
      </c>
      <c r="G28" s="55">
        <v>46199</v>
      </c>
      <c r="H28" s="54">
        <v>40</v>
      </c>
      <c r="I28" s="56">
        <v>14000</v>
      </c>
      <c r="J28" s="54" t="s">
        <v>27</v>
      </c>
      <c r="K28" s="54" t="s">
        <v>89</v>
      </c>
      <c r="L28" s="54" t="s">
        <v>98</v>
      </c>
    </row>
    <row r="29" spans="1:12">
      <c r="A29" s="54" t="s">
        <v>99</v>
      </c>
      <c r="B29" s="54" t="s">
        <v>100</v>
      </c>
      <c r="C29" s="54" t="s">
        <v>31</v>
      </c>
      <c r="D29" s="54" t="s">
        <v>15</v>
      </c>
      <c r="E29" s="54" t="s">
        <v>25</v>
      </c>
      <c r="F29" s="54" t="s">
        <v>26</v>
      </c>
      <c r="G29" s="55">
        <v>46200</v>
      </c>
      <c r="H29" s="54">
        <v>15</v>
      </c>
      <c r="I29" s="56">
        <v>3800</v>
      </c>
      <c r="J29" s="54" t="s">
        <v>33</v>
      </c>
      <c r="K29" s="54" t="s">
        <v>89</v>
      </c>
      <c r="L29" s="54" t="s">
        <v>90</v>
      </c>
    </row>
    <row r="30" spans="1:12">
      <c r="A30" s="54" t="s">
        <v>101</v>
      </c>
      <c r="B30" s="54" t="s">
        <v>102</v>
      </c>
      <c r="C30" s="54" t="s">
        <v>36</v>
      </c>
      <c r="D30" s="54" t="s">
        <v>37</v>
      </c>
      <c r="E30" s="54" t="s">
        <v>17</v>
      </c>
      <c r="F30" s="54" t="s">
        <v>32</v>
      </c>
      <c r="G30" s="55">
        <v>46201</v>
      </c>
      <c r="H30" s="54">
        <v>8</v>
      </c>
      <c r="I30" s="56">
        <v>2200</v>
      </c>
      <c r="J30" s="54" t="s">
        <v>18</v>
      </c>
      <c r="K30" s="54" t="s">
        <v>103</v>
      </c>
      <c r="L30" s="54" t="s">
        <v>104</v>
      </c>
    </row>
    <row r="31" spans="1:12">
      <c r="A31" s="54" t="s">
        <v>105</v>
      </c>
      <c r="B31" s="54" t="s">
        <v>106</v>
      </c>
      <c r="C31" s="54" t="s">
        <v>41</v>
      </c>
      <c r="D31" s="54" t="s">
        <v>42</v>
      </c>
      <c r="E31" s="54" t="s">
        <v>26</v>
      </c>
      <c r="F31" s="54" t="s">
        <v>16</v>
      </c>
      <c r="G31" s="55">
        <v>46202</v>
      </c>
      <c r="H31" s="54">
        <v>5</v>
      </c>
      <c r="I31" s="56">
        <v>1100</v>
      </c>
      <c r="J31" s="54" t="s">
        <v>27</v>
      </c>
      <c r="K31" s="54" t="s">
        <v>103</v>
      </c>
      <c r="L31" s="54" t="s">
        <v>107</v>
      </c>
    </row>
    <row r="32" spans="1:12">
      <c r="A32" s="54" t="s">
        <v>108</v>
      </c>
      <c r="B32" s="54" t="s">
        <v>109</v>
      </c>
      <c r="C32" s="54" t="s">
        <v>45</v>
      </c>
      <c r="D32" s="54" t="s">
        <v>15</v>
      </c>
      <c r="E32" s="54" t="s">
        <v>32</v>
      </c>
      <c r="F32" s="54" t="s">
        <v>25</v>
      </c>
      <c r="G32" s="55">
        <v>46203</v>
      </c>
      <c r="H32" s="54">
        <v>27</v>
      </c>
      <c r="I32" s="56">
        <v>5500</v>
      </c>
      <c r="J32" s="54" t="s">
        <v>33</v>
      </c>
      <c r="K32" s="54" t="s">
        <v>89</v>
      </c>
      <c r="L32" s="54" t="s">
        <v>110</v>
      </c>
    </row>
  </sheetData>
  <mergeCells count="1">
    <mergeCell ref="A1:L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08FA1-29BC-4DEF-B9BD-B2BFB7E677D8}">
  <sheetPr>
    <tabColor rgb="FF00B050"/>
  </sheetPr>
  <dimension ref="A1:J28"/>
  <sheetViews>
    <sheetView zoomScale="86" workbookViewId="0">
      <selection sqref="A1:J1"/>
    </sheetView>
  </sheetViews>
  <sheetFormatPr defaultRowHeight="14.5"/>
  <cols>
    <col min="1" max="1" width="6.7265625" bestFit="1" customWidth="1"/>
    <col min="2" max="2" width="18.36328125" bestFit="1" customWidth="1"/>
    <col min="3" max="3" width="10.54296875" bestFit="1" customWidth="1"/>
    <col min="4" max="4" width="19" bestFit="1" customWidth="1"/>
    <col min="5" max="5" width="8.08984375" bestFit="1" customWidth="1"/>
    <col min="6" max="6" width="8.90625" bestFit="1" customWidth="1"/>
    <col min="7" max="7" width="8.81640625" bestFit="1" customWidth="1"/>
    <col min="10" max="10" width="9.90625" bestFit="1" customWidth="1"/>
  </cols>
  <sheetData>
    <row r="1" spans="1:10">
      <c r="A1" s="47" t="s">
        <v>369</v>
      </c>
      <c r="B1" s="48"/>
      <c r="C1" s="48"/>
      <c r="D1" s="48"/>
      <c r="E1" s="48"/>
      <c r="F1" s="48"/>
      <c r="G1" s="48"/>
      <c r="H1" s="48"/>
      <c r="I1" s="48"/>
      <c r="J1" s="48"/>
    </row>
    <row r="2" spans="1:10">
      <c r="A2" s="49" t="s">
        <v>114</v>
      </c>
      <c r="B2" s="48"/>
      <c r="C2" s="48"/>
      <c r="D2" s="48"/>
      <c r="E2" s="48"/>
      <c r="F2" s="48"/>
      <c r="G2" s="48"/>
      <c r="H2" s="48"/>
      <c r="I2" s="48"/>
      <c r="J2" s="48"/>
    </row>
    <row r="3" spans="1:10" ht="26">
      <c r="A3" s="2" t="s">
        <v>115</v>
      </c>
      <c r="B3" s="2" t="s">
        <v>116</v>
      </c>
      <c r="C3" s="2" t="s">
        <v>117</v>
      </c>
      <c r="D3" s="2" t="s">
        <v>118</v>
      </c>
      <c r="E3" s="2" t="s">
        <v>119</v>
      </c>
      <c r="F3" s="2" t="s">
        <v>120</v>
      </c>
      <c r="G3" s="2" t="s">
        <v>121</v>
      </c>
      <c r="H3" s="2" t="s">
        <v>122</v>
      </c>
      <c r="I3" s="2" t="s">
        <v>123</v>
      </c>
      <c r="J3" s="2" t="s">
        <v>124</v>
      </c>
    </row>
    <row r="4" spans="1:10">
      <c r="A4" s="3" t="s">
        <v>125</v>
      </c>
      <c r="B4" s="4" t="s">
        <v>126</v>
      </c>
      <c r="C4" s="4" t="s">
        <v>127</v>
      </c>
      <c r="D4" s="4" t="s">
        <v>13</v>
      </c>
      <c r="E4" s="3" t="s">
        <v>128</v>
      </c>
      <c r="F4" s="4" t="s">
        <v>129</v>
      </c>
      <c r="G4" s="3" t="s">
        <v>130</v>
      </c>
      <c r="H4" s="5">
        <v>4500</v>
      </c>
      <c r="I4" s="6">
        <f ca="1">TODAY()-F4</f>
        <v>68</v>
      </c>
      <c r="J4" s="3" t="str">
        <f t="shared" ref="J4:J28" ca="1" si="0">IF(I4&gt;90,"Long Term Storage",IF(I4&gt;30,"Standard","New Arrival"))</f>
        <v>Standard</v>
      </c>
    </row>
    <row r="5" spans="1:10">
      <c r="A5" s="7" t="s">
        <v>131</v>
      </c>
      <c r="B5" s="8" t="s">
        <v>132</v>
      </c>
      <c r="C5" s="8" t="s">
        <v>127</v>
      </c>
      <c r="D5" s="8" t="s">
        <v>22</v>
      </c>
      <c r="E5" s="7" t="s">
        <v>133</v>
      </c>
      <c r="F5" s="8" t="s">
        <v>134</v>
      </c>
      <c r="G5" s="7" t="s">
        <v>130</v>
      </c>
      <c r="H5" s="9">
        <v>8200</v>
      </c>
      <c r="I5" s="10">
        <f t="shared" ref="I5:I28" ca="1" si="1">TODAY()-F5</f>
        <v>65</v>
      </c>
      <c r="J5" s="7" t="str">
        <f t="shared" ca="1" si="0"/>
        <v>Standard</v>
      </c>
    </row>
    <row r="6" spans="1:10">
      <c r="A6" s="3" t="s">
        <v>135</v>
      </c>
      <c r="B6" s="4" t="s">
        <v>136</v>
      </c>
      <c r="C6" s="4" t="s">
        <v>137</v>
      </c>
      <c r="D6" s="4" t="s">
        <v>30</v>
      </c>
      <c r="E6" s="3" t="s">
        <v>128</v>
      </c>
      <c r="F6" s="4" t="s">
        <v>138</v>
      </c>
      <c r="G6" s="3" t="s">
        <v>139</v>
      </c>
      <c r="H6" s="5">
        <v>12000</v>
      </c>
      <c r="I6" s="6">
        <f t="shared" ca="1" si="1"/>
        <v>61</v>
      </c>
      <c r="J6" s="3" t="str">
        <f t="shared" ca="1" si="0"/>
        <v>Standard</v>
      </c>
    </row>
    <row r="7" spans="1:10">
      <c r="A7" s="7" t="s">
        <v>140</v>
      </c>
      <c r="B7" s="8" t="s">
        <v>141</v>
      </c>
      <c r="C7" s="8" t="s">
        <v>142</v>
      </c>
      <c r="D7" s="8" t="s">
        <v>35</v>
      </c>
      <c r="E7" s="7" t="s">
        <v>143</v>
      </c>
      <c r="F7" s="8" t="s">
        <v>144</v>
      </c>
      <c r="G7" s="7" t="s">
        <v>130</v>
      </c>
      <c r="H7" s="9">
        <v>6700</v>
      </c>
      <c r="I7" s="10">
        <f t="shared" ca="1" si="1"/>
        <v>58</v>
      </c>
      <c r="J7" s="7" t="str">
        <f t="shared" ca="1" si="0"/>
        <v>Standard</v>
      </c>
    </row>
    <row r="8" spans="1:10">
      <c r="A8" s="3" t="s">
        <v>145</v>
      </c>
      <c r="B8" s="4" t="s">
        <v>146</v>
      </c>
      <c r="C8" s="4" t="s">
        <v>127</v>
      </c>
      <c r="D8" s="4" t="s">
        <v>40</v>
      </c>
      <c r="E8" s="3" t="s">
        <v>147</v>
      </c>
      <c r="F8" s="4" t="s">
        <v>148</v>
      </c>
      <c r="G8" s="3" t="s">
        <v>139</v>
      </c>
      <c r="H8" s="5">
        <v>3200</v>
      </c>
      <c r="I8" s="6">
        <f t="shared" ca="1" si="1"/>
        <v>55</v>
      </c>
      <c r="J8" s="3" t="str">
        <f t="shared" ca="1" si="0"/>
        <v>Standard</v>
      </c>
    </row>
    <row r="9" spans="1:10">
      <c r="A9" s="7" t="s">
        <v>149</v>
      </c>
      <c r="B9" s="8" t="s">
        <v>150</v>
      </c>
      <c r="C9" s="8" t="s">
        <v>151</v>
      </c>
      <c r="D9" s="8" t="s">
        <v>44</v>
      </c>
      <c r="E9" s="7" t="s">
        <v>152</v>
      </c>
      <c r="F9" s="8" t="s">
        <v>153</v>
      </c>
      <c r="G9" s="7" t="s">
        <v>130</v>
      </c>
      <c r="H9" s="9">
        <v>9500</v>
      </c>
      <c r="I9" s="10">
        <f t="shared" ca="1" si="1"/>
        <v>53</v>
      </c>
      <c r="J9" s="7" t="str">
        <f t="shared" ca="1" si="0"/>
        <v>Standard</v>
      </c>
    </row>
    <row r="10" spans="1:10">
      <c r="A10" s="3" t="s">
        <v>154</v>
      </c>
      <c r="B10" s="4" t="s">
        <v>155</v>
      </c>
      <c r="C10" s="4" t="s">
        <v>156</v>
      </c>
      <c r="D10" s="4" t="s">
        <v>48</v>
      </c>
      <c r="E10" s="3" t="s">
        <v>128</v>
      </c>
      <c r="F10" s="4" t="s">
        <v>157</v>
      </c>
      <c r="G10" s="3" t="s">
        <v>139</v>
      </c>
      <c r="H10" s="5">
        <v>5800</v>
      </c>
      <c r="I10" s="6">
        <f t="shared" ca="1" si="1"/>
        <v>51</v>
      </c>
      <c r="J10" s="3" t="str">
        <f t="shared" ca="1" si="0"/>
        <v>Standard</v>
      </c>
    </row>
    <row r="11" spans="1:10">
      <c r="A11" s="7" t="s">
        <v>158</v>
      </c>
      <c r="B11" s="8" t="s">
        <v>159</v>
      </c>
      <c r="C11" s="8" t="s">
        <v>127</v>
      </c>
      <c r="D11" s="8" t="s">
        <v>51</v>
      </c>
      <c r="E11" s="7" t="s">
        <v>133</v>
      </c>
      <c r="F11" s="8" t="s">
        <v>160</v>
      </c>
      <c r="G11" s="7" t="s">
        <v>130</v>
      </c>
      <c r="H11" s="9">
        <v>7300</v>
      </c>
      <c r="I11" s="10">
        <f t="shared" ca="1" si="1"/>
        <v>48</v>
      </c>
      <c r="J11" s="7" t="str">
        <f t="shared" ca="1" si="0"/>
        <v>Standard</v>
      </c>
    </row>
    <row r="12" spans="1:10">
      <c r="A12" s="3" t="s">
        <v>161</v>
      </c>
      <c r="B12" s="4" t="s">
        <v>162</v>
      </c>
      <c r="C12" s="4" t="s">
        <v>127</v>
      </c>
      <c r="D12" s="4" t="s">
        <v>54</v>
      </c>
      <c r="E12" s="3" t="s">
        <v>143</v>
      </c>
      <c r="F12" s="4" t="s">
        <v>163</v>
      </c>
      <c r="G12" s="3" t="s">
        <v>139</v>
      </c>
      <c r="H12" s="5">
        <v>2900</v>
      </c>
      <c r="I12" s="6">
        <f t="shared" ca="1" si="1"/>
        <v>45</v>
      </c>
      <c r="J12" s="3" t="str">
        <f t="shared" ca="1" si="0"/>
        <v>Standard</v>
      </c>
    </row>
    <row r="13" spans="1:10">
      <c r="A13" s="7" t="s">
        <v>164</v>
      </c>
      <c r="B13" s="8" t="s">
        <v>165</v>
      </c>
      <c r="C13" s="8" t="s">
        <v>127</v>
      </c>
      <c r="D13" s="8" t="s">
        <v>56</v>
      </c>
      <c r="E13" s="7" t="s">
        <v>147</v>
      </c>
      <c r="F13" s="8" t="s">
        <v>166</v>
      </c>
      <c r="G13" s="7" t="s">
        <v>130</v>
      </c>
      <c r="H13" s="9">
        <v>3600</v>
      </c>
      <c r="I13" s="10">
        <f t="shared" ca="1" si="1"/>
        <v>42</v>
      </c>
      <c r="J13" s="7" t="str">
        <f t="shared" ca="1" si="0"/>
        <v>Standard</v>
      </c>
    </row>
    <row r="14" spans="1:10">
      <c r="A14" s="3" t="s">
        <v>167</v>
      </c>
      <c r="B14" s="4" t="s">
        <v>168</v>
      </c>
      <c r="C14" s="4" t="s">
        <v>137</v>
      </c>
      <c r="D14" s="4" t="s">
        <v>58</v>
      </c>
      <c r="E14" s="3" t="s">
        <v>152</v>
      </c>
      <c r="F14" s="4" t="s">
        <v>169</v>
      </c>
      <c r="G14" s="3" t="s">
        <v>130</v>
      </c>
      <c r="H14" s="5">
        <v>15000</v>
      </c>
      <c r="I14" s="6">
        <f t="shared" ca="1" si="1"/>
        <v>40</v>
      </c>
      <c r="J14" s="3" t="str">
        <f t="shared" ca="1" si="0"/>
        <v>Standard</v>
      </c>
    </row>
    <row r="15" spans="1:10">
      <c r="A15" s="7" t="s">
        <v>170</v>
      </c>
      <c r="B15" s="8" t="s">
        <v>171</v>
      </c>
      <c r="C15" s="8" t="s">
        <v>127</v>
      </c>
      <c r="D15" s="8" t="s">
        <v>60</v>
      </c>
      <c r="E15" s="7" t="s">
        <v>128</v>
      </c>
      <c r="F15" s="8" t="s">
        <v>172</v>
      </c>
      <c r="G15" s="7" t="s">
        <v>139</v>
      </c>
      <c r="H15" s="9">
        <v>2800</v>
      </c>
      <c r="I15" s="10">
        <f t="shared" ca="1" si="1"/>
        <v>38</v>
      </c>
      <c r="J15" s="7" t="str">
        <f t="shared" ca="1" si="0"/>
        <v>Standard</v>
      </c>
    </row>
    <row r="16" spans="1:10">
      <c r="A16" s="3" t="s">
        <v>173</v>
      </c>
      <c r="B16" s="4" t="s">
        <v>174</v>
      </c>
      <c r="C16" s="4" t="s">
        <v>127</v>
      </c>
      <c r="D16" s="4" t="s">
        <v>63</v>
      </c>
      <c r="E16" s="3" t="s">
        <v>133</v>
      </c>
      <c r="F16" s="4" t="s">
        <v>175</v>
      </c>
      <c r="G16" s="3" t="s">
        <v>176</v>
      </c>
      <c r="H16" s="5">
        <v>1200</v>
      </c>
      <c r="I16" s="6">
        <f t="shared" ca="1" si="1"/>
        <v>35</v>
      </c>
      <c r="J16" s="3" t="str">
        <f t="shared" ca="1" si="0"/>
        <v>Standard</v>
      </c>
    </row>
    <row r="17" spans="1:10">
      <c r="A17" s="7" t="s">
        <v>177</v>
      </c>
      <c r="B17" s="8" t="s">
        <v>178</v>
      </c>
      <c r="C17" s="8" t="s">
        <v>179</v>
      </c>
      <c r="D17" s="8" t="s">
        <v>66</v>
      </c>
      <c r="E17" s="7" t="s">
        <v>143</v>
      </c>
      <c r="F17" s="8" t="s">
        <v>180</v>
      </c>
      <c r="G17" s="7" t="s">
        <v>139</v>
      </c>
      <c r="H17" s="9">
        <v>4100</v>
      </c>
      <c r="I17" s="10">
        <f t="shared" ca="1" si="1"/>
        <v>33</v>
      </c>
      <c r="J17" s="7" t="str">
        <f t="shared" ca="1" si="0"/>
        <v>Standard</v>
      </c>
    </row>
    <row r="18" spans="1:10">
      <c r="A18" s="3" t="s">
        <v>181</v>
      </c>
      <c r="B18" s="4" t="s">
        <v>182</v>
      </c>
      <c r="C18" s="4" t="s">
        <v>156</v>
      </c>
      <c r="D18" s="4" t="s">
        <v>68</v>
      </c>
      <c r="E18" s="3" t="s">
        <v>147</v>
      </c>
      <c r="F18" s="4" t="s">
        <v>183</v>
      </c>
      <c r="G18" s="3" t="s">
        <v>130</v>
      </c>
      <c r="H18" s="5">
        <v>5500</v>
      </c>
      <c r="I18" s="6">
        <f t="shared" ca="1" si="1"/>
        <v>31</v>
      </c>
      <c r="J18" s="3" t="str">
        <f t="shared" ca="1" si="0"/>
        <v>Standard</v>
      </c>
    </row>
    <row r="19" spans="1:10">
      <c r="A19" s="7" t="s">
        <v>184</v>
      </c>
      <c r="B19" s="8" t="s">
        <v>185</v>
      </c>
      <c r="C19" s="8" t="s">
        <v>127</v>
      </c>
      <c r="D19" s="8" t="s">
        <v>70</v>
      </c>
      <c r="E19" s="7" t="s">
        <v>152</v>
      </c>
      <c r="F19" s="8" t="s">
        <v>186</v>
      </c>
      <c r="G19" s="7" t="s">
        <v>139</v>
      </c>
      <c r="H19" s="9">
        <v>3800</v>
      </c>
      <c r="I19" s="10">
        <f t="shared" ca="1" si="1"/>
        <v>28</v>
      </c>
      <c r="J19" s="7" t="str">
        <f t="shared" ca="1" si="0"/>
        <v>New Arrival</v>
      </c>
    </row>
    <row r="20" spans="1:10">
      <c r="A20" s="3" t="s">
        <v>187</v>
      </c>
      <c r="B20" s="4" t="s">
        <v>188</v>
      </c>
      <c r="C20" s="4" t="s">
        <v>127</v>
      </c>
      <c r="D20" s="4" t="s">
        <v>72</v>
      </c>
      <c r="E20" s="3" t="s">
        <v>128</v>
      </c>
      <c r="F20" s="4" t="s">
        <v>189</v>
      </c>
      <c r="G20" s="3" t="s">
        <v>130</v>
      </c>
      <c r="H20" s="5">
        <v>6200</v>
      </c>
      <c r="I20" s="6">
        <f t="shared" ca="1" si="1"/>
        <v>25</v>
      </c>
      <c r="J20" s="3" t="str">
        <f t="shared" ca="1" si="0"/>
        <v>New Arrival</v>
      </c>
    </row>
    <row r="21" spans="1:10">
      <c r="A21" s="7" t="s">
        <v>190</v>
      </c>
      <c r="B21" s="8" t="s">
        <v>191</v>
      </c>
      <c r="C21" s="8" t="s">
        <v>127</v>
      </c>
      <c r="D21" s="8" t="s">
        <v>74</v>
      </c>
      <c r="E21" s="7" t="s">
        <v>133</v>
      </c>
      <c r="F21" s="8" t="s">
        <v>192</v>
      </c>
      <c r="G21" s="7" t="s">
        <v>139</v>
      </c>
      <c r="H21" s="9">
        <v>2400</v>
      </c>
      <c r="I21" s="10">
        <f t="shared" ca="1" si="1"/>
        <v>23</v>
      </c>
      <c r="J21" s="7" t="str">
        <f t="shared" ca="1" si="0"/>
        <v>New Arrival</v>
      </c>
    </row>
    <row r="22" spans="1:10">
      <c r="A22" s="3" t="s">
        <v>193</v>
      </c>
      <c r="B22" s="4" t="s">
        <v>194</v>
      </c>
      <c r="C22" s="4" t="s">
        <v>127</v>
      </c>
      <c r="D22" s="4" t="s">
        <v>78</v>
      </c>
      <c r="E22" s="3" t="s">
        <v>143</v>
      </c>
      <c r="F22" s="4" t="s">
        <v>195</v>
      </c>
      <c r="G22" s="3" t="s">
        <v>130</v>
      </c>
      <c r="H22" s="5">
        <v>3100</v>
      </c>
      <c r="I22" s="6">
        <f t="shared" ca="1" si="1"/>
        <v>21</v>
      </c>
      <c r="J22" s="3" t="str">
        <f t="shared" ca="1" si="0"/>
        <v>New Arrival</v>
      </c>
    </row>
    <row r="23" spans="1:10">
      <c r="A23" s="7" t="s">
        <v>196</v>
      </c>
      <c r="B23" s="8" t="s">
        <v>197</v>
      </c>
      <c r="C23" s="8" t="s">
        <v>151</v>
      </c>
      <c r="D23" s="8" t="s">
        <v>81</v>
      </c>
      <c r="E23" s="7" t="s">
        <v>147</v>
      </c>
      <c r="F23" s="8" t="s">
        <v>198</v>
      </c>
      <c r="G23" s="7" t="s">
        <v>176</v>
      </c>
      <c r="H23" s="9">
        <v>1800</v>
      </c>
      <c r="I23" s="10">
        <f t="shared" ca="1" si="1"/>
        <v>18</v>
      </c>
      <c r="J23" s="7" t="str">
        <f t="shared" ca="1" si="0"/>
        <v>New Arrival</v>
      </c>
    </row>
    <row r="24" spans="1:10">
      <c r="A24" s="3" t="s">
        <v>199</v>
      </c>
      <c r="B24" s="4" t="s">
        <v>200</v>
      </c>
      <c r="C24" s="4" t="s">
        <v>156</v>
      </c>
      <c r="D24" s="4" t="s">
        <v>84</v>
      </c>
      <c r="E24" s="3" t="s">
        <v>152</v>
      </c>
      <c r="F24" s="4" t="s">
        <v>201</v>
      </c>
      <c r="G24" s="3" t="s">
        <v>139</v>
      </c>
      <c r="H24" s="5">
        <v>900</v>
      </c>
      <c r="I24" s="6">
        <f t="shared" ca="1" si="1"/>
        <v>16</v>
      </c>
      <c r="J24" s="3" t="str">
        <f t="shared" ca="1" si="0"/>
        <v>New Arrival</v>
      </c>
    </row>
    <row r="25" spans="1:10">
      <c r="A25" s="7" t="s">
        <v>202</v>
      </c>
      <c r="B25" s="8" t="s">
        <v>203</v>
      </c>
      <c r="C25" s="8" t="s">
        <v>127</v>
      </c>
      <c r="D25" s="8" t="s">
        <v>86</v>
      </c>
      <c r="E25" s="7" t="s">
        <v>128</v>
      </c>
      <c r="F25" s="8" t="s">
        <v>204</v>
      </c>
      <c r="G25" s="7" t="s">
        <v>130</v>
      </c>
      <c r="H25" s="9">
        <v>4700</v>
      </c>
      <c r="I25" s="10">
        <f t="shared" ca="1" si="1"/>
        <v>14</v>
      </c>
      <c r="J25" s="7" t="str">
        <f t="shared" ca="1" si="0"/>
        <v>New Arrival</v>
      </c>
    </row>
    <row r="26" spans="1:10">
      <c r="A26" s="3" t="s">
        <v>205</v>
      </c>
      <c r="B26" s="4" t="s">
        <v>206</v>
      </c>
      <c r="C26" s="4" t="s">
        <v>127</v>
      </c>
      <c r="D26" s="4" t="s">
        <v>88</v>
      </c>
      <c r="E26" s="3" t="s">
        <v>133</v>
      </c>
      <c r="F26" s="4" t="s">
        <v>111</v>
      </c>
      <c r="G26" s="3" t="s">
        <v>139</v>
      </c>
      <c r="H26" s="5">
        <v>2100</v>
      </c>
      <c r="I26" s="6">
        <f t="shared" ca="1" si="1"/>
        <v>11</v>
      </c>
      <c r="J26" s="3" t="str">
        <f t="shared" ca="1" si="0"/>
        <v>New Arrival</v>
      </c>
    </row>
    <row r="27" spans="1:10">
      <c r="A27" s="7" t="s">
        <v>207</v>
      </c>
      <c r="B27" s="8" t="s">
        <v>208</v>
      </c>
      <c r="C27" s="8" t="s">
        <v>127</v>
      </c>
      <c r="D27" s="8" t="s">
        <v>92</v>
      </c>
      <c r="E27" s="7" t="s">
        <v>143</v>
      </c>
      <c r="F27" s="8" t="s">
        <v>113</v>
      </c>
      <c r="G27" s="7" t="s">
        <v>209</v>
      </c>
      <c r="H27" s="9">
        <v>800</v>
      </c>
      <c r="I27" s="10">
        <f t="shared" ca="1" si="1"/>
        <v>9</v>
      </c>
      <c r="J27" s="7" t="str">
        <f t="shared" ca="1" si="0"/>
        <v>New Arrival</v>
      </c>
    </row>
    <row r="28" spans="1:10">
      <c r="A28" s="3" t="s">
        <v>210</v>
      </c>
      <c r="B28" s="4" t="s">
        <v>211</v>
      </c>
      <c r="C28" s="4" t="s">
        <v>127</v>
      </c>
      <c r="D28" s="4" t="s">
        <v>94</v>
      </c>
      <c r="E28" s="3" t="s">
        <v>147</v>
      </c>
      <c r="F28" s="4" t="s">
        <v>212</v>
      </c>
      <c r="G28" s="3" t="s">
        <v>139</v>
      </c>
      <c r="H28" s="5">
        <v>3300</v>
      </c>
      <c r="I28" s="6">
        <f t="shared" ca="1" si="1"/>
        <v>7</v>
      </c>
      <c r="J28" s="3" t="str">
        <f t="shared" ca="1" si="0"/>
        <v>New Arrival</v>
      </c>
    </row>
  </sheetData>
  <mergeCells count="2">
    <mergeCell ref="A1:J1"/>
    <mergeCell ref="A2:J2"/>
  </mergeCells>
  <conditionalFormatting sqref="G4:G28">
    <cfRule type="cellIs" dxfId="10" priority="1" operator="equal">
      <formula>"Excellent"</formula>
    </cfRule>
    <cfRule type="cellIs" dxfId="9" priority="2" operator="equal">
      <formula>"Good"</formula>
    </cfRule>
    <cfRule type="cellIs" dxfId="8" priority="3" operator="equal">
      <formula>"Fair"</formula>
    </cfRule>
    <cfRule type="cellIs" dxfId="7" priority="4" operator="equal">
      <formula>"Damaged"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13B42-A210-4E17-A987-C96A0FEC1E67}">
  <sheetPr>
    <tabColor rgb="FFFFC000"/>
  </sheetPr>
  <dimension ref="A1:J39"/>
  <sheetViews>
    <sheetView zoomScale="73" workbookViewId="0">
      <selection sqref="A1:J1"/>
    </sheetView>
  </sheetViews>
  <sheetFormatPr defaultRowHeight="14.5"/>
  <cols>
    <col min="1" max="1" width="11.6328125" customWidth="1"/>
    <col min="2" max="2" width="11.1796875" customWidth="1"/>
    <col min="3" max="3" width="19" bestFit="1" customWidth="1"/>
    <col min="4" max="4" width="13.90625" customWidth="1"/>
    <col min="5" max="5" width="14.1796875" customWidth="1"/>
    <col min="6" max="6" width="18.1796875" customWidth="1"/>
  </cols>
  <sheetData>
    <row r="1" spans="1:10">
      <c r="A1" s="47" t="s">
        <v>370</v>
      </c>
      <c r="B1" s="50"/>
      <c r="C1" s="50"/>
      <c r="D1" s="50"/>
      <c r="E1" s="50"/>
      <c r="F1" s="50"/>
      <c r="G1" s="50"/>
      <c r="H1" s="50"/>
      <c r="I1" s="50"/>
      <c r="J1" s="50"/>
    </row>
    <row r="2" spans="1:10">
      <c r="A2" s="49" t="s">
        <v>213</v>
      </c>
      <c r="B2" s="50"/>
      <c r="C2" s="50"/>
      <c r="D2" s="50"/>
      <c r="E2" s="50"/>
      <c r="F2" s="50"/>
      <c r="G2" s="50"/>
      <c r="H2" s="50"/>
      <c r="I2" s="50"/>
      <c r="J2" s="50"/>
    </row>
    <row r="3" spans="1:10" ht="39">
      <c r="A3" s="2" t="s">
        <v>214</v>
      </c>
      <c r="B3" s="2" t="s">
        <v>0</v>
      </c>
      <c r="C3" s="2" t="s">
        <v>1</v>
      </c>
      <c r="D3" s="2" t="s">
        <v>6</v>
      </c>
      <c r="E3" s="2" t="s">
        <v>215</v>
      </c>
      <c r="F3" s="2" t="s">
        <v>216</v>
      </c>
      <c r="G3" s="2" t="s">
        <v>217</v>
      </c>
      <c r="H3" s="2" t="s">
        <v>218</v>
      </c>
      <c r="I3" s="2" t="s">
        <v>219</v>
      </c>
      <c r="J3" s="2" t="s">
        <v>220</v>
      </c>
    </row>
    <row r="4" spans="1:10">
      <c r="A4" s="3" t="s">
        <v>221</v>
      </c>
      <c r="B4" s="3" t="s">
        <v>12</v>
      </c>
      <c r="C4" s="4" t="s">
        <v>13</v>
      </c>
      <c r="D4" s="11" t="s">
        <v>111</v>
      </c>
      <c r="E4" s="11" t="s">
        <v>111</v>
      </c>
      <c r="F4" s="4" t="s">
        <v>222</v>
      </c>
      <c r="G4" s="3">
        <v>12</v>
      </c>
      <c r="H4" s="3" t="s">
        <v>223</v>
      </c>
      <c r="I4" s="3" t="str">
        <f t="shared" ref="I4:I33" si="0">IF(E4="","Pending",IF(E4&lt;=D4,"Yes","No"))</f>
        <v>Yes</v>
      </c>
      <c r="J4" s="3">
        <v>5</v>
      </c>
    </row>
    <row r="5" spans="1:10">
      <c r="A5" s="7" t="s">
        <v>224</v>
      </c>
      <c r="B5" s="7" t="s">
        <v>21</v>
      </c>
      <c r="C5" s="8" t="s">
        <v>22</v>
      </c>
      <c r="D5" s="12" t="s">
        <v>112</v>
      </c>
      <c r="E5" s="12" t="s">
        <v>112</v>
      </c>
      <c r="F5" s="8" t="s">
        <v>225</v>
      </c>
      <c r="G5" s="7">
        <v>8</v>
      </c>
      <c r="H5" s="7" t="s">
        <v>223</v>
      </c>
      <c r="I5" s="7" t="str">
        <f t="shared" si="0"/>
        <v>Yes</v>
      </c>
      <c r="J5" s="7">
        <v>5</v>
      </c>
    </row>
    <row r="6" spans="1:10">
      <c r="A6" s="3" t="s">
        <v>226</v>
      </c>
      <c r="B6" s="3" t="s">
        <v>29</v>
      </c>
      <c r="C6" s="4" t="s">
        <v>30</v>
      </c>
      <c r="D6" s="11" t="s">
        <v>113</v>
      </c>
      <c r="E6" s="11" t="s">
        <v>113</v>
      </c>
      <c r="F6" s="4" t="s">
        <v>227</v>
      </c>
      <c r="G6" s="3">
        <v>22</v>
      </c>
      <c r="H6" s="3" t="s">
        <v>223</v>
      </c>
      <c r="I6" s="3" t="str">
        <f t="shared" si="0"/>
        <v>Yes</v>
      </c>
      <c r="J6" s="3">
        <v>4</v>
      </c>
    </row>
    <row r="7" spans="1:10">
      <c r="A7" s="7" t="s">
        <v>228</v>
      </c>
      <c r="B7" s="7" t="s">
        <v>34</v>
      </c>
      <c r="C7" s="8" t="s">
        <v>35</v>
      </c>
      <c r="D7" s="12" t="s">
        <v>229</v>
      </c>
      <c r="E7" s="12" t="s">
        <v>229</v>
      </c>
      <c r="F7" s="8" t="s">
        <v>230</v>
      </c>
      <c r="G7" s="7">
        <v>15</v>
      </c>
      <c r="H7" s="7" t="s">
        <v>223</v>
      </c>
      <c r="I7" s="7" t="str">
        <f t="shared" si="0"/>
        <v>Yes</v>
      </c>
      <c r="J7" s="7">
        <v>5</v>
      </c>
    </row>
    <row r="8" spans="1:10">
      <c r="A8" s="3" t="s">
        <v>231</v>
      </c>
      <c r="B8" s="3" t="s">
        <v>39</v>
      </c>
      <c r="C8" s="4" t="s">
        <v>40</v>
      </c>
      <c r="D8" s="11" t="s">
        <v>212</v>
      </c>
      <c r="E8" s="11" t="s">
        <v>212</v>
      </c>
      <c r="F8" s="4" t="s">
        <v>232</v>
      </c>
      <c r="G8" s="3">
        <v>9</v>
      </c>
      <c r="H8" s="3" t="s">
        <v>223</v>
      </c>
      <c r="I8" s="3" t="str">
        <f t="shared" si="0"/>
        <v>Yes</v>
      </c>
      <c r="J8" s="3">
        <v>4</v>
      </c>
    </row>
    <row r="9" spans="1:10">
      <c r="A9" s="7" t="s">
        <v>233</v>
      </c>
      <c r="B9" s="7" t="s">
        <v>43</v>
      </c>
      <c r="C9" s="8" t="s">
        <v>44</v>
      </c>
      <c r="D9" s="12" t="s">
        <v>234</v>
      </c>
      <c r="E9" s="12" t="s">
        <v>235</v>
      </c>
      <c r="F9" s="8" t="s">
        <v>222</v>
      </c>
      <c r="G9" s="7">
        <v>31</v>
      </c>
      <c r="H9" s="7" t="s">
        <v>223</v>
      </c>
      <c r="I9" s="7" t="str">
        <f t="shared" si="0"/>
        <v>No</v>
      </c>
      <c r="J9" s="7">
        <v>4</v>
      </c>
    </row>
    <row r="10" spans="1:10">
      <c r="A10" s="3" t="s">
        <v>236</v>
      </c>
      <c r="B10" s="3" t="s">
        <v>47</v>
      </c>
      <c r="C10" s="4" t="s">
        <v>48</v>
      </c>
      <c r="D10" s="11" t="s">
        <v>235</v>
      </c>
      <c r="E10" s="11" t="s">
        <v>235</v>
      </c>
      <c r="F10" s="4" t="s">
        <v>225</v>
      </c>
      <c r="G10" s="3">
        <v>6</v>
      </c>
      <c r="H10" s="3" t="s">
        <v>223</v>
      </c>
      <c r="I10" s="3" t="str">
        <f t="shared" si="0"/>
        <v>Yes</v>
      </c>
      <c r="J10" s="3">
        <v>5</v>
      </c>
    </row>
    <row r="11" spans="1:10">
      <c r="A11" s="7" t="s">
        <v>237</v>
      </c>
      <c r="B11" s="7" t="s">
        <v>50</v>
      </c>
      <c r="C11" s="8" t="s">
        <v>51</v>
      </c>
      <c r="D11" s="12" t="s">
        <v>238</v>
      </c>
      <c r="E11" s="12" t="s">
        <v>238</v>
      </c>
      <c r="F11" s="8" t="s">
        <v>227</v>
      </c>
      <c r="G11" s="7">
        <v>45</v>
      </c>
      <c r="H11" s="7" t="s">
        <v>223</v>
      </c>
      <c r="I11" s="7" t="str">
        <f t="shared" si="0"/>
        <v>Yes</v>
      </c>
      <c r="J11" s="7">
        <v>5</v>
      </c>
    </row>
    <row r="12" spans="1:10">
      <c r="A12" s="3" t="s">
        <v>239</v>
      </c>
      <c r="B12" s="3" t="s">
        <v>53</v>
      </c>
      <c r="C12" s="4" t="s">
        <v>54</v>
      </c>
      <c r="D12" s="11" t="s">
        <v>240</v>
      </c>
      <c r="E12" s="11" t="s">
        <v>240</v>
      </c>
      <c r="F12" s="4" t="s">
        <v>230</v>
      </c>
      <c r="G12" s="3">
        <v>18</v>
      </c>
      <c r="H12" s="3" t="s">
        <v>223</v>
      </c>
      <c r="I12" s="3" t="str">
        <f t="shared" si="0"/>
        <v>Yes</v>
      </c>
      <c r="J12" s="3">
        <v>4</v>
      </c>
    </row>
    <row r="13" spans="1:10">
      <c r="A13" s="7" t="s">
        <v>241</v>
      </c>
      <c r="B13" s="7" t="s">
        <v>55</v>
      </c>
      <c r="C13" s="8" t="s">
        <v>56</v>
      </c>
      <c r="D13" s="12" t="s">
        <v>242</v>
      </c>
      <c r="E13" s="12" t="s">
        <v>242</v>
      </c>
      <c r="F13" s="8" t="s">
        <v>232</v>
      </c>
      <c r="G13" s="7">
        <v>11</v>
      </c>
      <c r="H13" s="7" t="s">
        <v>223</v>
      </c>
      <c r="I13" s="7" t="str">
        <f t="shared" si="0"/>
        <v>Yes</v>
      </c>
      <c r="J13" s="7">
        <v>5</v>
      </c>
    </row>
    <row r="14" spans="1:10">
      <c r="A14" s="3" t="s">
        <v>243</v>
      </c>
      <c r="B14" s="3" t="s">
        <v>57</v>
      </c>
      <c r="C14" s="4" t="s">
        <v>58</v>
      </c>
      <c r="D14" s="11" t="s">
        <v>244</v>
      </c>
      <c r="E14" s="11" t="s">
        <v>244</v>
      </c>
      <c r="F14" s="4" t="s">
        <v>222</v>
      </c>
      <c r="G14" s="3">
        <v>7</v>
      </c>
      <c r="H14" s="3" t="s">
        <v>223</v>
      </c>
      <c r="I14" s="3" t="str">
        <f t="shared" si="0"/>
        <v>Yes</v>
      </c>
      <c r="J14" s="3">
        <v>4</v>
      </c>
    </row>
    <row r="15" spans="1:10">
      <c r="A15" s="7" t="s">
        <v>245</v>
      </c>
      <c r="B15" s="7" t="s">
        <v>59</v>
      </c>
      <c r="C15" s="8" t="s">
        <v>60</v>
      </c>
      <c r="D15" s="12" t="s">
        <v>246</v>
      </c>
      <c r="E15" s="12" t="s">
        <v>246</v>
      </c>
      <c r="F15" s="8" t="s">
        <v>225</v>
      </c>
      <c r="G15" s="7">
        <v>25</v>
      </c>
      <c r="H15" s="7" t="s">
        <v>223</v>
      </c>
      <c r="I15" s="7" t="str">
        <f t="shared" si="0"/>
        <v>Yes</v>
      </c>
      <c r="J15" s="7">
        <v>5</v>
      </c>
    </row>
    <row r="16" spans="1:10">
      <c r="A16" s="3" t="s">
        <v>247</v>
      </c>
      <c r="B16" s="3" t="s">
        <v>62</v>
      </c>
      <c r="C16" s="4" t="s">
        <v>63</v>
      </c>
      <c r="D16" s="11" t="s">
        <v>248</v>
      </c>
      <c r="E16" s="11" t="s">
        <v>249</v>
      </c>
      <c r="F16" s="4" t="s">
        <v>227</v>
      </c>
      <c r="G16" s="3">
        <v>14</v>
      </c>
      <c r="H16" s="3" t="s">
        <v>223</v>
      </c>
      <c r="I16" s="3" t="str">
        <f t="shared" si="0"/>
        <v>No</v>
      </c>
      <c r="J16" s="3">
        <v>4</v>
      </c>
    </row>
    <row r="17" spans="1:10">
      <c r="A17" s="7" t="s">
        <v>250</v>
      </c>
      <c r="B17" s="7" t="s">
        <v>65</v>
      </c>
      <c r="C17" s="8" t="s">
        <v>66</v>
      </c>
      <c r="D17" s="12" t="s">
        <v>249</v>
      </c>
      <c r="E17" s="12" t="s">
        <v>249</v>
      </c>
      <c r="F17" s="8" t="s">
        <v>230</v>
      </c>
      <c r="G17" s="7">
        <v>38</v>
      </c>
      <c r="H17" s="7" t="s">
        <v>223</v>
      </c>
      <c r="I17" s="7" t="str">
        <f t="shared" si="0"/>
        <v>Yes</v>
      </c>
      <c r="J17" s="7">
        <v>5</v>
      </c>
    </row>
    <row r="18" spans="1:10">
      <c r="A18" s="3" t="s">
        <v>251</v>
      </c>
      <c r="B18" s="3" t="s">
        <v>67</v>
      </c>
      <c r="C18" s="4" t="s">
        <v>68</v>
      </c>
      <c r="D18" s="11" t="s">
        <v>252</v>
      </c>
      <c r="E18" s="11" t="s">
        <v>252</v>
      </c>
      <c r="F18" s="4" t="s">
        <v>232</v>
      </c>
      <c r="G18" s="3">
        <v>20</v>
      </c>
      <c r="H18" s="3" t="s">
        <v>223</v>
      </c>
      <c r="I18" s="3" t="str">
        <f t="shared" si="0"/>
        <v>Yes</v>
      </c>
      <c r="J18" s="3">
        <v>5</v>
      </c>
    </row>
    <row r="19" spans="1:10">
      <c r="A19" s="7" t="s">
        <v>253</v>
      </c>
      <c r="B19" s="7" t="s">
        <v>69</v>
      </c>
      <c r="C19" s="8" t="s">
        <v>70</v>
      </c>
      <c r="D19" s="12" t="s">
        <v>254</v>
      </c>
      <c r="E19" s="12" t="s">
        <v>254</v>
      </c>
      <c r="F19" s="8" t="s">
        <v>222</v>
      </c>
      <c r="G19" s="7">
        <v>9</v>
      </c>
      <c r="H19" s="7" t="s">
        <v>223</v>
      </c>
      <c r="I19" s="7" t="str">
        <f t="shared" si="0"/>
        <v>Yes</v>
      </c>
      <c r="J19" s="7">
        <v>4</v>
      </c>
    </row>
    <row r="20" spans="1:10">
      <c r="A20" s="3" t="s">
        <v>255</v>
      </c>
      <c r="B20" s="3" t="s">
        <v>71</v>
      </c>
      <c r="C20" s="4" t="s">
        <v>72</v>
      </c>
      <c r="D20" s="11" t="s">
        <v>256</v>
      </c>
      <c r="E20" s="11" t="s">
        <v>256</v>
      </c>
      <c r="F20" s="4" t="s">
        <v>225</v>
      </c>
      <c r="G20" s="3">
        <v>5</v>
      </c>
      <c r="H20" s="3" t="s">
        <v>223</v>
      </c>
      <c r="I20" s="3" t="str">
        <f t="shared" si="0"/>
        <v>Yes</v>
      </c>
      <c r="J20" s="3">
        <v>5</v>
      </c>
    </row>
    <row r="21" spans="1:10">
      <c r="A21" s="7" t="s">
        <v>257</v>
      </c>
      <c r="B21" s="7" t="s">
        <v>73</v>
      </c>
      <c r="C21" s="8" t="s">
        <v>74</v>
      </c>
      <c r="D21" s="12" t="s">
        <v>258</v>
      </c>
      <c r="E21" s="12"/>
      <c r="F21" s="8" t="s">
        <v>227</v>
      </c>
      <c r="G21" s="7">
        <v>29</v>
      </c>
      <c r="H21" s="7" t="s">
        <v>223</v>
      </c>
      <c r="I21" s="7" t="str">
        <f t="shared" si="0"/>
        <v>Pending</v>
      </c>
      <c r="J21" s="7"/>
    </row>
    <row r="22" spans="1:10">
      <c r="A22" s="3" t="s">
        <v>259</v>
      </c>
      <c r="B22" s="3" t="s">
        <v>77</v>
      </c>
      <c r="C22" s="4" t="s">
        <v>78</v>
      </c>
      <c r="D22" s="11" t="s">
        <v>260</v>
      </c>
      <c r="E22" s="11" t="s">
        <v>261</v>
      </c>
      <c r="F22" s="4" t="s">
        <v>230</v>
      </c>
      <c r="G22" s="3">
        <v>16</v>
      </c>
      <c r="H22" s="3" t="s">
        <v>262</v>
      </c>
      <c r="I22" s="3" t="str">
        <f t="shared" si="0"/>
        <v>No</v>
      </c>
      <c r="J22" s="3">
        <v>3</v>
      </c>
    </row>
    <row r="23" spans="1:10">
      <c r="A23" s="7" t="s">
        <v>263</v>
      </c>
      <c r="B23" s="7" t="s">
        <v>80</v>
      </c>
      <c r="C23" s="8" t="s">
        <v>81</v>
      </c>
      <c r="D23" s="12" t="s">
        <v>261</v>
      </c>
      <c r="E23" s="12"/>
      <c r="F23" s="8" t="s">
        <v>232</v>
      </c>
      <c r="G23" s="7">
        <v>42</v>
      </c>
      <c r="H23" s="7" t="s">
        <v>223</v>
      </c>
      <c r="I23" s="7" t="str">
        <f t="shared" si="0"/>
        <v>Pending</v>
      </c>
      <c r="J23" s="7"/>
    </row>
    <row r="24" spans="1:10">
      <c r="A24" s="3" t="s">
        <v>264</v>
      </c>
      <c r="B24" s="3" t="s">
        <v>83</v>
      </c>
      <c r="C24" s="4" t="s">
        <v>84</v>
      </c>
      <c r="D24" s="11" t="s">
        <v>265</v>
      </c>
      <c r="E24" s="11" t="s">
        <v>265</v>
      </c>
      <c r="F24" s="4" t="s">
        <v>222</v>
      </c>
      <c r="G24" s="3">
        <v>23</v>
      </c>
      <c r="H24" s="3" t="s">
        <v>223</v>
      </c>
      <c r="I24" s="3" t="str">
        <f t="shared" si="0"/>
        <v>Yes</v>
      </c>
      <c r="J24" s="3">
        <v>4</v>
      </c>
    </row>
    <row r="25" spans="1:10">
      <c r="A25" s="7" t="s">
        <v>266</v>
      </c>
      <c r="B25" s="7" t="s">
        <v>85</v>
      </c>
      <c r="C25" s="8" t="s">
        <v>86</v>
      </c>
      <c r="D25" s="12" t="s">
        <v>267</v>
      </c>
      <c r="E25" s="12" t="s">
        <v>267</v>
      </c>
      <c r="F25" s="8" t="s">
        <v>225</v>
      </c>
      <c r="G25" s="7">
        <v>10</v>
      </c>
      <c r="H25" s="7" t="s">
        <v>223</v>
      </c>
      <c r="I25" s="7" t="str">
        <f t="shared" si="0"/>
        <v>Yes</v>
      </c>
      <c r="J25" s="7">
        <v>5</v>
      </c>
    </row>
    <row r="26" spans="1:10">
      <c r="A26" s="3" t="s">
        <v>268</v>
      </c>
      <c r="B26" s="3" t="s">
        <v>87</v>
      </c>
      <c r="C26" s="4" t="s">
        <v>88</v>
      </c>
      <c r="D26" s="11" t="s">
        <v>269</v>
      </c>
      <c r="E26" s="11"/>
      <c r="F26" s="4" t="s">
        <v>227</v>
      </c>
      <c r="G26" s="3">
        <v>6</v>
      </c>
      <c r="H26" s="3" t="s">
        <v>223</v>
      </c>
      <c r="I26" s="3" t="str">
        <f t="shared" si="0"/>
        <v>Pending</v>
      </c>
      <c r="J26" s="3"/>
    </row>
    <row r="27" spans="1:10">
      <c r="A27" s="7" t="s">
        <v>270</v>
      </c>
      <c r="B27" s="7" t="s">
        <v>91</v>
      </c>
      <c r="C27" s="8" t="s">
        <v>92</v>
      </c>
      <c r="D27" s="12" t="s">
        <v>271</v>
      </c>
      <c r="E27" s="12" t="s">
        <v>272</v>
      </c>
      <c r="F27" s="8" t="s">
        <v>230</v>
      </c>
      <c r="G27" s="7">
        <v>33</v>
      </c>
      <c r="H27" s="7" t="s">
        <v>262</v>
      </c>
      <c r="I27" s="7" t="str">
        <f t="shared" si="0"/>
        <v>No</v>
      </c>
      <c r="J27" s="7">
        <v>3</v>
      </c>
    </row>
    <row r="28" spans="1:10">
      <c r="A28" s="3" t="s">
        <v>273</v>
      </c>
      <c r="B28" s="3" t="s">
        <v>93</v>
      </c>
      <c r="C28" s="4" t="s">
        <v>94</v>
      </c>
      <c r="D28" s="11" t="s">
        <v>272</v>
      </c>
      <c r="E28" s="11"/>
      <c r="F28" s="4" t="s">
        <v>232</v>
      </c>
      <c r="G28" s="3">
        <v>18</v>
      </c>
      <c r="H28" s="3" t="s">
        <v>223</v>
      </c>
      <c r="I28" s="3" t="str">
        <f t="shared" si="0"/>
        <v>Pending</v>
      </c>
      <c r="J28" s="3"/>
    </row>
    <row r="29" spans="1:10">
      <c r="A29" s="7" t="s">
        <v>274</v>
      </c>
      <c r="B29" s="7" t="s">
        <v>96</v>
      </c>
      <c r="C29" s="8" t="s">
        <v>97</v>
      </c>
      <c r="D29" s="12" t="s">
        <v>275</v>
      </c>
      <c r="E29" s="12" t="s">
        <v>275</v>
      </c>
      <c r="F29" s="8" t="s">
        <v>222</v>
      </c>
      <c r="G29" s="7">
        <v>40</v>
      </c>
      <c r="H29" s="7" t="s">
        <v>223</v>
      </c>
      <c r="I29" s="7" t="str">
        <f t="shared" si="0"/>
        <v>Yes</v>
      </c>
      <c r="J29" s="7">
        <v>5</v>
      </c>
    </row>
    <row r="30" spans="1:10">
      <c r="A30" s="3" t="s">
        <v>276</v>
      </c>
      <c r="B30" s="3" t="s">
        <v>99</v>
      </c>
      <c r="C30" s="4" t="s">
        <v>100</v>
      </c>
      <c r="D30" s="11" t="s">
        <v>277</v>
      </c>
      <c r="E30" s="11" t="s">
        <v>277</v>
      </c>
      <c r="F30" s="4" t="s">
        <v>225</v>
      </c>
      <c r="G30" s="3">
        <v>15</v>
      </c>
      <c r="H30" s="3" t="s">
        <v>223</v>
      </c>
      <c r="I30" s="3" t="str">
        <f t="shared" si="0"/>
        <v>Yes</v>
      </c>
      <c r="J30" s="3">
        <v>4</v>
      </c>
    </row>
    <row r="31" spans="1:10">
      <c r="A31" s="7" t="s">
        <v>278</v>
      </c>
      <c r="B31" s="7" t="s">
        <v>101</v>
      </c>
      <c r="C31" s="8" t="s">
        <v>102</v>
      </c>
      <c r="D31" s="12" t="s">
        <v>279</v>
      </c>
      <c r="E31" s="12"/>
      <c r="F31" s="8" t="s">
        <v>227</v>
      </c>
      <c r="G31" s="7">
        <v>8</v>
      </c>
      <c r="H31" s="7" t="s">
        <v>223</v>
      </c>
      <c r="I31" s="7" t="str">
        <f t="shared" si="0"/>
        <v>Pending</v>
      </c>
      <c r="J31" s="7"/>
    </row>
    <row r="32" spans="1:10">
      <c r="A32" s="3" t="s">
        <v>280</v>
      </c>
      <c r="B32" s="3" t="s">
        <v>105</v>
      </c>
      <c r="C32" s="4" t="s">
        <v>106</v>
      </c>
      <c r="D32" s="11" t="s">
        <v>281</v>
      </c>
      <c r="E32" s="11"/>
      <c r="F32" s="4" t="s">
        <v>230</v>
      </c>
      <c r="G32" s="3">
        <v>5</v>
      </c>
      <c r="H32" s="3" t="s">
        <v>223</v>
      </c>
      <c r="I32" s="3" t="str">
        <f t="shared" si="0"/>
        <v>Pending</v>
      </c>
      <c r="J32" s="3"/>
    </row>
    <row r="33" spans="1:10">
      <c r="A33" s="7" t="s">
        <v>282</v>
      </c>
      <c r="B33" s="7" t="s">
        <v>108</v>
      </c>
      <c r="C33" s="8" t="s">
        <v>109</v>
      </c>
      <c r="D33" s="12" t="s">
        <v>283</v>
      </c>
      <c r="E33" s="12"/>
      <c r="F33" s="8" t="s">
        <v>232</v>
      </c>
      <c r="G33" s="7">
        <v>27</v>
      </c>
      <c r="H33" s="7" t="s">
        <v>223</v>
      </c>
      <c r="I33" s="7" t="str">
        <f t="shared" si="0"/>
        <v>Pending</v>
      </c>
      <c r="J33" s="7"/>
    </row>
    <row r="35" spans="1:10">
      <c r="A35" t="s">
        <v>284</v>
      </c>
      <c r="C35" s="20">
        <f>IFERROR(COUNTIF(I4:I33,"Yes")/COUNTIF(I4:I33,"&lt;&gt;Pending"),0)</f>
        <v>0.82608695652173914</v>
      </c>
    </row>
    <row r="37" spans="1:10">
      <c r="A37" t="s">
        <v>285</v>
      </c>
      <c r="C37" s="17">
        <f>IFERROR(COUNTIF(H4:H33,"Yes")/COUNTA(H4:H33),0)</f>
        <v>6.6666666666666666E-2</v>
      </c>
    </row>
    <row r="39" spans="1:10">
      <c r="A39" t="s">
        <v>286</v>
      </c>
      <c r="C39" s="18">
        <f>IFERROR(AVERAGEIF(J4:J33,"&gt;0"),0)</f>
        <v>4.4347826086956523</v>
      </c>
    </row>
  </sheetData>
  <mergeCells count="2">
    <mergeCell ref="A1:J1"/>
    <mergeCell ref="A2:J2"/>
  </mergeCells>
  <conditionalFormatting sqref="H4:H33">
    <cfRule type="cellIs" dxfId="6" priority="4" operator="equal">
      <formula>"Yes"</formula>
    </cfRule>
    <cfRule type="cellIs" dxfId="5" priority="5" operator="equal">
      <formula>"No"</formula>
    </cfRule>
  </conditionalFormatting>
  <conditionalFormatting sqref="I4:I33">
    <cfRule type="cellIs" dxfId="4" priority="1" operator="equal">
      <formula>"Yes"</formula>
    </cfRule>
    <cfRule type="cellIs" dxfId="3" priority="2" operator="equal">
      <formula>"No"</formula>
    </cfRule>
    <cfRule type="cellIs" dxfId="2" priority="3" operator="equal">
      <formula>"Pending"</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C4A5-3B8D-45E9-A5A2-E9684420D723}">
  <sheetPr>
    <tabColor rgb="FF7030A0"/>
  </sheetPr>
  <dimension ref="A2:AB42"/>
  <sheetViews>
    <sheetView zoomScale="53" zoomScaleNormal="87" workbookViewId="0">
      <selection activeCell="W16" sqref="W16"/>
    </sheetView>
  </sheetViews>
  <sheetFormatPr defaultRowHeight="14.5"/>
  <cols>
    <col min="1" max="1" width="12.90625" bestFit="1" customWidth="1"/>
    <col min="2" max="2" width="9.08984375" bestFit="1" customWidth="1"/>
    <col min="28" max="28" width="11.26953125" bestFit="1" customWidth="1"/>
  </cols>
  <sheetData>
    <row r="2" spans="1:28" ht="20" customHeight="1">
      <c r="P2" s="51" t="s">
        <v>371</v>
      </c>
      <c r="Q2" s="51"/>
      <c r="R2" s="51"/>
      <c r="S2" s="51"/>
      <c r="T2" s="51"/>
      <c r="U2" s="51"/>
      <c r="V2" s="51"/>
    </row>
    <row r="3" spans="1:28" ht="20" customHeight="1">
      <c r="P3" s="51"/>
      <c r="Q3" s="51"/>
      <c r="R3" s="51"/>
      <c r="S3" s="51"/>
      <c r="T3" s="51"/>
      <c r="U3" s="51"/>
      <c r="V3" s="51"/>
    </row>
    <row r="4" spans="1:28">
      <c r="P4" s="51"/>
      <c r="Q4" s="51"/>
      <c r="R4" s="51"/>
      <c r="S4" s="51"/>
      <c r="T4" s="51"/>
      <c r="U4" s="51"/>
      <c r="V4" s="51"/>
    </row>
    <row r="5" spans="1:28">
      <c r="P5" s="52" t="s">
        <v>335</v>
      </c>
      <c r="Q5" s="53"/>
      <c r="R5" s="53"/>
      <c r="S5" s="53"/>
      <c r="T5" s="53"/>
      <c r="U5" s="53"/>
      <c r="V5" s="53"/>
    </row>
    <row r="6" spans="1:28" ht="26" customHeight="1">
      <c r="P6" s="53"/>
      <c r="Q6" s="53"/>
      <c r="R6" s="53"/>
      <c r="S6" s="53"/>
      <c r="T6" s="53"/>
      <c r="U6" s="53"/>
      <c r="V6" s="53"/>
      <c r="Z6" s="57" t="s">
        <v>379</v>
      </c>
      <c r="AA6" s="57"/>
      <c r="AB6" s="57"/>
    </row>
    <row r="7" spans="1:28">
      <c r="P7" s="53"/>
      <c r="Q7" s="53"/>
      <c r="R7" s="53"/>
      <c r="S7" s="53"/>
      <c r="T7" s="53"/>
      <c r="U7" s="53"/>
      <c r="V7" s="53"/>
      <c r="Z7" s="58" t="s">
        <v>373</v>
      </c>
      <c r="AA7" s="58"/>
      <c r="AB7" s="59" cm="1">
        <f t="array" ref="AB7">SUMPRODUCT(('Client Jobs'!G3:G1000&gt;=DATE(2026,6,1))*('Client Jobs'!G3:G1000&lt;=DATE(2026,6,7))*('Client Jobs'!I3:I1000))</f>
        <v>32750</v>
      </c>
    </row>
    <row r="8" spans="1:28">
      <c r="Z8" s="58" t="s">
        <v>374</v>
      </c>
      <c r="AA8" s="58"/>
      <c r="AB8" s="59" cm="1">
        <f t="array" ref="AB8">SUMPRODUCT(('Client Jobs'!G3:G1000&gt;=DATE(2026,6,8))*('Client Jobs'!G3:G1000&lt;=DATE(2026,6,14))*('Client Jobs'!I3:I1000))</f>
        <v>47600</v>
      </c>
    </row>
    <row r="9" spans="1:28">
      <c r="A9" s="62" t="s">
        <v>328</v>
      </c>
      <c r="B9" s="62" t="s">
        <v>329</v>
      </c>
      <c r="Z9" s="58" t="s">
        <v>375</v>
      </c>
      <c r="AA9" s="58"/>
      <c r="AB9" s="59" cm="1">
        <f t="array" ref="AB9">SUMPRODUCT(('Client Jobs'!G3:G1000&gt;=DATE(2026,6,15))*('Client Jobs'!G3:G1000&lt;=DATE(2026,6,21))*('Client Jobs'!I3:I1000))</f>
        <v>41400</v>
      </c>
    </row>
    <row r="10" spans="1:28">
      <c r="A10" s="62" t="s">
        <v>219</v>
      </c>
      <c r="B10" s="62">
        <f>COUNTIF('Delivery Log'!I4:I33,"Yes")</f>
        <v>19</v>
      </c>
      <c r="Z10" s="58" t="s">
        <v>376</v>
      </c>
      <c r="AA10" s="58"/>
      <c r="AB10" s="59" cm="1">
        <f t="array" ref="AB10">SUMPRODUCT(('Client Jobs'!G3:G1000&gt;=DATE(2026,6,22))*('Client Jobs'!G3:G1000&lt;=DATE(2026,6,30))*('Client Jobs'!I3:I1000))</f>
        <v>47900</v>
      </c>
    </row>
    <row r="11" spans="1:28">
      <c r="A11" s="63" t="s">
        <v>330</v>
      </c>
      <c r="B11" s="62">
        <f>COUNTIF('Delivery Log'!I4:I33,"No")</f>
        <v>4</v>
      </c>
      <c r="Z11" s="58" t="s">
        <v>377</v>
      </c>
      <c r="AA11" s="58"/>
      <c r="AB11" s="60" t="str">
        <f>IF(AND(AB7&gt;=AB8,AB7&gt;=AB9,AB7&gt;=AB10),"Week 1",IF(AND(AB8&gt;=AB7,AB8&gt;=AB9,AB8&gt;=AB10),"Week 2",IF(AND(AB9&gt;=AB7,AB9&gt;=AB8,AB9&gt;=AB10),"Week 3","Week 4")))</f>
        <v>Week 4</v>
      </c>
    </row>
    <row r="12" spans="1:28">
      <c r="A12" s="62" t="s">
        <v>331</v>
      </c>
      <c r="B12" s="62">
        <f>COUNTIF('Delivery Log'!I4:I33,"Pending")</f>
        <v>7</v>
      </c>
      <c r="Z12" s="58" t="s">
        <v>378</v>
      </c>
      <c r="AA12" s="58"/>
      <c r="AB12" s="61">
        <f>IFERROR((AB8-AB7)/AB7,0)</f>
        <v>0.45343511450381679</v>
      </c>
    </row>
    <row r="20" spans="1:2">
      <c r="A20" s="62" t="s">
        <v>332</v>
      </c>
      <c r="B20" s="62" t="s">
        <v>333</v>
      </c>
    </row>
    <row r="21" spans="1:2">
      <c r="A21" s="62" t="s">
        <v>97</v>
      </c>
      <c r="B21" s="64">
        <f>VLOOKUP("Donald Young",'Client Jobs'!B3:I1000,8,FALSE)</f>
        <v>14000</v>
      </c>
    </row>
    <row r="22" spans="1:2">
      <c r="A22" s="62" t="s">
        <v>81</v>
      </c>
      <c r="B22" s="64">
        <f>VLOOKUP("Matthew Clark",'Client Jobs'!B3:I1000,8,FALSE)</f>
        <v>13500</v>
      </c>
    </row>
    <row r="23" spans="1:2">
      <c r="A23" s="62" t="s">
        <v>51</v>
      </c>
      <c r="B23" s="64">
        <f>VLOOKUP("Michael Brown",'Client Jobs'!B3:I1000,8,FALSE)</f>
        <v>12000</v>
      </c>
    </row>
    <row r="24" spans="1:2">
      <c r="A24" s="62" t="s">
        <v>66</v>
      </c>
      <c r="B24" s="64">
        <f>VLOOKUP("Thomas Harris",'Client Jobs'!B10:I1007,8,FALSE)</f>
        <v>11500</v>
      </c>
    </row>
    <row r="25" spans="1:2">
      <c r="A25" s="62" t="s">
        <v>334</v>
      </c>
      <c r="B25" s="64">
        <f>VLOOKUP("Lauren Robinson",'Client Jobs'!B3:I1000,8,FALSE)</f>
        <v>7800</v>
      </c>
    </row>
    <row r="32" spans="1:2">
      <c r="B32" s="19"/>
    </row>
    <row r="33" spans="1:2">
      <c r="B33" s="19"/>
    </row>
    <row r="38" spans="1:2">
      <c r="A38" s="62" t="s">
        <v>10</v>
      </c>
      <c r="B38" s="62" t="s">
        <v>329</v>
      </c>
    </row>
    <row r="39" spans="1:2">
      <c r="A39" s="62" t="s">
        <v>19</v>
      </c>
      <c r="B39" s="62">
        <f>COUNTIF('Client Jobs'!K3:K1000,"Completed")</f>
        <v>17</v>
      </c>
    </row>
    <row r="40" spans="1:2">
      <c r="A40" s="62" t="s">
        <v>75</v>
      </c>
      <c r="B40" s="62">
        <f>COUNTIF('Client Jobs'!K3:K1000,"In Progress")</f>
        <v>5</v>
      </c>
    </row>
    <row r="41" spans="1:2">
      <c r="A41" s="62" t="s">
        <v>89</v>
      </c>
      <c r="B41" s="62">
        <f>COUNTIF('Client Jobs'!K3:K1000,"Scheduled")</f>
        <v>6</v>
      </c>
    </row>
    <row r="42" spans="1:2">
      <c r="A42" s="62" t="s">
        <v>103</v>
      </c>
      <c r="B42" s="62">
        <f>COUNTIF('Client Jobs'!K3:K1000,"Cancelled")</f>
        <v>2</v>
      </c>
    </row>
  </sheetData>
  <mergeCells count="9">
    <mergeCell ref="Z10:AA10"/>
    <mergeCell ref="Z11:AA11"/>
    <mergeCell ref="Z12:AA12"/>
    <mergeCell ref="Z6:AB6"/>
    <mergeCell ref="P2:V4"/>
    <mergeCell ref="P5:V7"/>
    <mergeCell ref="Z7:AA7"/>
    <mergeCell ref="Z8:AA8"/>
    <mergeCell ref="Z9:AA9"/>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588B-3B7F-4D25-A8E3-139E009B15C1}">
  <sheetPr>
    <tabColor rgb="FFFF0000"/>
  </sheetPr>
  <dimension ref="A1:H14"/>
  <sheetViews>
    <sheetView workbookViewId="0">
      <selection sqref="A1:H1"/>
    </sheetView>
  </sheetViews>
  <sheetFormatPr defaultRowHeight="14.5"/>
  <cols>
    <col min="1" max="1" width="9.90625" customWidth="1"/>
    <col min="2" max="2" width="9.26953125" bestFit="1" customWidth="1"/>
    <col min="3" max="3" width="15.08984375" bestFit="1" customWidth="1"/>
    <col min="6" max="6" width="23.08984375" bestFit="1" customWidth="1"/>
    <col min="7" max="7" width="31.08984375" bestFit="1" customWidth="1"/>
    <col min="8" max="8" width="10.90625" bestFit="1" customWidth="1"/>
  </cols>
  <sheetData>
    <row r="1" spans="1:8">
      <c r="A1" s="47" t="s">
        <v>372</v>
      </c>
      <c r="B1" s="50"/>
      <c r="C1" s="50"/>
      <c r="D1" s="50"/>
      <c r="E1" s="50"/>
      <c r="F1" s="50"/>
      <c r="G1" s="50"/>
      <c r="H1" s="50"/>
    </row>
    <row r="2" spans="1:8">
      <c r="A2" s="49" t="s">
        <v>287</v>
      </c>
      <c r="B2" s="50"/>
      <c r="C2" s="50"/>
      <c r="D2" s="50"/>
      <c r="E2" s="50"/>
      <c r="F2" s="50"/>
      <c r="G2" s="50"/>
      <c r="H2" s="50"/>
    </row>
    <row r="3" spans="1:8" ht="26">
      <c r="A3" s="2" t="s">
        <v>288</v>
      </c>
      <c r="B3" s="2" t="s">
        <v>289</v>
      </c>
      <c r="C3" s="2" t="s">
        <v>290</v>
      </c>
      <c r="D3" s="2" t="s">
        <v>291</v>
      </c>
      <c r="E3" s="2" t="s">
        <v>292</v>
      </c>
      <c r="F3" s="2" t="s">
        <v>293</v>
      </c>
      <c r="G3" s="2" t="s">
        <v>294</v>
      </c>
      <c r="H3" s="2" t="s">
        <v>295</v>
      </c>
    </row>
    <row r="4" spans="1:8">
      <c r="A4" s="3" t="s">
        <v>296</v>
      </c>
      <c r="B4" s="21" t="s">
        <v>111</v>
      </c>
      <c r="C4" s="4" t="s">
        <v>297</v>
      </c>
      <c r="D4" s="3">
        <v>30</v>
      </c>
      <c r="E4" s="13">
        <v>1</v>
      </c>
      <c r="F4" s="4" t="s">
        <v>298</v>
      </c>
      <c r="G4" s="4" t="s">
        <v>299</v>
      </c>
      <c r="H4" s="4" t="s">
        <v>300</v>
      </c>
    </row>
    <row r="5" spans="1:8">
      <c r="A5" s="7" t="s">
        <v>301</v>
      </c>
      <c r="B5" s="22" t="s">
        <v>111</v>
      </c>
      <c r="C5" s="8" t="s">
        <v>297</v>
      </c>
      <c r="D5" s="7">
        <v>30</v>
      </c>
      <c r="E5" s="13">
        <v>2</v>
      </c>
      <c r="F5" s="8" t="s">
        <v>302</v>
      </c>
      <c r="G5" s="8" t="s">
        <v>303</v>
      </c>
      <c r="H5" s="8" t="s">
        <v>300</v>
      </c>
    </row>
    <row r="6" spans="1:8">
      <c r="A6" s="3" t="s">
        <v>304</v>
      </c>
      <c r="B6" s="21" t="s">
        <v>112</v>
      </c>
      <c r="C6" s="4" t="s">
        <v>305</v>
      </c>
      <c r="D6" s="3">
        <v>25</v>
      </c>
      <c r="E6" s="13">
        <v>1</v>
      </c>
      <c r="F6" s="4" t="s">
        <v>306</v>
      </c>
      <c r="G6" s="4" t="s">
        <v>307</v>
      </c>
      <c r="H6" s="4" t="s">
        <v>300</v>
      </c>
    </row>
    <row r="7" spans="1:8">
      <c r="A7" s="7" t="s">
        <v>308</v>
      </c>
      <c r="B7" s="22" t="s">
        <v>112</v>
      </c>
      <c r="C7" s="8" t="s">
        <v>305</v>
      </c>
      <c r="D7" s="7">
        <v>25</v>
      </c>
      <c r="E7" s="14">
        <v>0</v>
      </c>
      <c r="F7" s="8" t="s">
        <v>309</v>
      </c>
      <c r="G7" s="8" t="s">
        <v>310</v>
      </c>
      <c r="H7" s="8" t="s">
        <v>311</v>
      </c>
    </row>
    <row r="8" spans="1:8">
      <c r="A8" s="3" t="s">
        <v>312</v>
      </c>
      <c r="B8" s="21" t="s">
        <v>113</v>
      </c>
      <c r="C8" s="4" t="s">
        <v>313</v>
      </c>
      <c r="D8" s="3">
        <v>30</v>
      </c>
      <c r="E8" s="13">
        <v>1</v>
      </c>
      <c r="F8" s="4" t="s">
        <v>314</v>
      </c>
      <c r="G8" s="4" t="s">
        <v>315</v>
      </c>
      <c r="H8" s="4" t="s">
        <v>300</v>
      </c>
    </row>
    <row r="9" spans="1:8">
      <c r="A9" s="7" t="s">
        <v>316</v>
      </c>
      <c r="B9" s="22" t="s">
        <v>229</v>
      </c>
      <c r="C9" s="8" t="s">
        <v>313</v>
      </c>
      <c r="D9" s="7">
        <v>30</v>
      </c>
      <c r="E9" s="13">
        <v>2</v>
      </c>
      <c r="F9" s="8" t="s">
        <v>317</v>
      </c>
      <c r="G9" s="8" t="s">
        <v>318</v>
      </c>
      <c r="H9" s="8" t="s">
        <v>300</v>
      </c>
    </row>
    <row r="10" spans="1:8">
      <c r="A10" s="3" t="s">
        <v>319</v>
      </c>
      <c r="B10" s="21" t="s">
        <v>212</v>
      </c>
      <c r="C10" s="4" t="s">
        <v>297</v>
      </c>
      <c r="D10" s="3">
        <v>30</v>
      </c>
      <c r="E10" s="14">
        <v>0</v>
      </c>
      <c r="F10" s="4" t="s">
        <v>309</v>
      </c>
      <c r="G10" s="4" t="s">
        <v>310</v>
      </c>
      <c r="H10" s="4" t="s">
        <v>311</v>
      </c>
    </row>
    <row r="11" spans="1:8">
      <c r="A11" s="7" t="s">
        <v>320</v>
      </c>
      <c r="B11" s="22" t="s">
        <v>234</v>
      </c>
      <c r="C11" s="8" t="s">
        <v>305</v>
      </c>
      <c r="D11" s="7">
        <v>25</v>
      </c>
      <c r="E11" s="13">
        <v>1</v>
      </c>
      <c r="F11" s="8" t="s">
        <v>321</v>
      </c>
      <c r="G11" s="8" t="s">
        <v>322</v>
      </c>
      <c r="H11" s="8" t="s">
        <v>300</v>
      </c>
    </row>
    <row r="12" spans="1:8">
      <c r="A12" s="3" t="s">
        <v>323</v>
      </c>
      <c r="B12" s="21" t="s">
        <v>235</v>
      </c>
      <c r="C12" s="4" t="s">
        <v>313</v>
      </c>
      <c r="D12" s="3">
        <v>30</v>
      </c>
      <c r="E12" s="14">
        <v>0</v>
      </c>
      <c r="F12" s="4" t="s">
        <v>309</v>
      </c>
      <c r="G12" s="4" t="s">
        <v>310</v>
      </c>
      <c r="H12" s="4" t="s">
        <v>311</v>
      </c>
    </row>
    <row r="13" spans="1:8">
      <c r="A13" s="7" t="s">
        <v>324</v>
      </c>
      <c r="B13" s="22" t="s">
        <v>238</v>
      </c>
      <c r="C13" s="8" t="s">
        <v>325</v>
      </c>
      <c r="D13" s="7">
        <v>85</v>
      </c>
      <c r="E13" s="14">
        <v>0</v>
      </c>
      <c r="F13" s="8" t="s">
        <v>309</v>
      </c>
      <c r="G13" s="8" t="s">
        <v>326</v>
      </c>
      <c r="H13" s="8" t="s">
        <v>311</v>
      </c>
    </row>
    <row r="14" spans="1:8" s="16" customFormat="1">
      <c r="A14" s="15" t="s">
        <v>327</v>
      </c>
      <c r="B14" s="15"/>
      <c r="C14" s="15"/>
      <c r="D14" s="15">
        <f>SUM(D4:D13)</f>
        <v>340</v>
      </c>
      <c r="E14" s="15">
        <f>SUM(E4:E13)</f>
        <v>8</v>
      </c>
      <c r="F14" s="15"/>
      <c r="G14" s="15"/>
      <c r="H14" s="15"/>
    </row>
  </sheetData>
  <autoFilter ref="A3:H3" xr:uid="{9D53588B-3B7F-4D25-A8E3-139E009B15C1}"/>
  <mergeCells count="2">
    <mergeCell ref="A1:H1"/>
    <mergeCell ref="A2:H2"/>
  </mergeCells>
  <conditionalFormatting sqref="H4:H13">
    <cfRule type="cellIs" dxfId="1" priority="1" operator="equal">
      <formula>"Resolved"</formula>
    </cfRule>
    <cfRule type="cellIs" dxfId="0" priority="2" operator="equal">
      <formula>"Complete"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01C5-1012-4B7B-9B99-D66D02B48878}">
  <sheetPr>
    <tabColor theme="9" tint="-0.499984740745262"/>
  </sheetPr>
  <dimension ref="A1:J25"/>
  <sheetViews>
    <sheetView zoomScale="63" zoomScaleNormal="50" workbookViewId="0">
      <selection activeCell="A23" sqref="A23:J23"/>
    </sheetView>
  </sheetViews>
  <sheetFormatPr defaultColWidth="14.6328125" defaultRowHeight="14.5"/>
  <sheetData>
    <row r="1" spans="1:10" ht="45" customHeight="1">
      <c r="A1" s="37" t="s">
        <v>336</v>
      </c>
      <c r="B1" s="37"/>
      <c r="C1" s="37"/>
      <c r="D1" s="37"/>
      <c r="E1" s="37"/>
      <c r="F1" s="37"/>
      <c r="G1" s="37"/>
      <c r="H1" s="37"/>
      <c r="I1" s="37"/>
      <c r="J1" s="37"/>
    </row>
    <row r="2" spans="1:10" ht="18" customHeight="1">
      <c r="A2" s="38" t="s">
        <v>337</v>
      </c>
      <c r="B2" s="39"/>
      <c r="C2" s="39"/>
      <c r="D2" s="39"/>
      <c r="E2" s="39"/>
      <c r="F2" s="39"/>
      <c r="G2" s="39"/>
      <c r="H2" s="39"/>
      <c r="I2" s="39"/>
      <c r="J2" s="39"/>
    </row>
    <row r="4" spans="1:10" ht="26" customHeight="1">
      <c r="A4" s="40" t="s">
        <v>338</v>
      </c>
      <c r="B4" s="40"/>
      <c r="C4" s="40"/>
      <c r="D4" s="40"/>
      <c r="E4" s="40"/>
      <c r="F4" s="40"/>
      <c r="G4" s="40"/>
      <c r="H4" s="40"/>
      <c r="I4" s="40"/>
      <c r="J4" s="40"/>
    </row>
    <row r="5" spans="1:10" ht="55" customHeight="1">
      <c r="A5" s="41" t="s">
        <v>339</v>
      </c>
      <c r="B5" s="42"/>
      <c r="C5" s="42"/>
      <c r="D5" s="42"/>
      <c r="E5" s="42"/>
      <c r="F5" s="42"/>
      <c r="G5" s="42"/>
      <c r="H5" s="42"/>
      <c r="I5" s="42"/>
      <c r="J5" s="42"/>
    </row>
    <row r="7" spans="1:10" ht="26" customHeight="1">
      <c r="A7" s="43" t="s">
        <v>340</v>
      </c>
      <c r="B7" s="43"/>
      <c r="C7" s="43"/>
      <c r="D7" s="43"/>
      <c r="E7" s="43"/>
      <c r="F7" s="43"/>
      <c r="G7" s="43"/>
      <c r="H7" s="43"/>
      <c r="I7" s="43"/>
      <c r="J7" s="43"/>
    </row>
    <row r="8" spans="1:10" ht="22" customHeight="1">
      <c r="A8" s="44" t="s">
        <v>341</v>
      </c>
      <c r="B8" s="45"/>
      <c r="C8" s="44" t="s">
        <v>342</v>
      </c>
      <c r="D8" s="44"/>
      <c r="E8" s="44"/>
      <c r="F8" s="44"/>
      <c r="G8" s="44"/>
      <c r="H8" s="44" t="s">
        <v>343</v>
      </c>
      <c r="I8" s="44"/>
      <c r="J8" s="44"/>
    </row>
    <row r="9" spans="1:10" ht="65" customHeight="1">
      <c r="A9" s="27" t="s">
        <v>344</v>
      </c>
      <c r="B9" s="36"/>
      <c r="C9" s="33" t="s">
        <v>345</v>
      </c>
      <c r="D9" s="33"/>
      <c r="E9" s="33"/>
      <c r="F9" s="33"/>
      <c r="G9" s="33"/>
      <c r="H9" s="34" t="s">
        <v>346</v>
      </c>
      <c r="I9" s="34"/>
      <c r="J9" s="34"/>
    </row>
    <row r="10" spans="1:10" ht="65" customHeight="1">
      <c r="A10" s="27" t="s">
        <v>347</v>
      </c>
      <c r="B10" s="27"/>
      <c r="C10" s="35" t="s">
        <v>348</v>
      </c>
      <c r="D10" s="35"/>
      <c r="E10" s="35"/>
      <c r="F10" s="35"/>
      <c r="G10" s="35"/>
      <c r="H10" s="34" t="s">
        <v>349</v>
      </c>
      <c r="I10" s="34"/>
      <c r="J10" s="34"/>
    </row>
    <row r="11" spans="1:10" ht="65" customHeight="1">
      <c r="A11" s="27" t="s">
        <v>350</v>
      </c>
      <c r="B11" s="27"/>
      <c r="C11" s="33" t="s">
        <v>351</v>
      </c>
      <c r="D11" s="33"/>
      <c r="E11" s="33"/>
      <c r="F11" s="33"/>
      <c r="G11" s="33"/>
      <c r="H11" s="34" t="s">
        <v>352</v>
      </c>
      <c r="I11" s="34"/>
      <c r="J11" s="34"/>
    </row>
    <row r="12" spans="1:10" ht="65" customHeight="1">
      <c r="A12" s="27" t="s">
        <v>353</v>
      </c>
      <c r="B12" s="27"/>
      <c r="C12" s="35" t="s">
        <v>354</v>
      </c>
      <c r="D12" s="35"/>
      <c r="E12" s="35"/>
      <c r="F12" s="35"/>
      <c r="G12" s="35"/>
      <c r="H12" s="34" t="s">
        <v>355</v>
      </c>
      <c r="I12" s="34"/>
      <c r="J12" s="34"/>
    </row>
    <row r="14" spans="1:10" s="23" customFormat="1" ht="22" customHeight="1">
      <c r="A14" s="30" t="s">
        <v>356</v>
      </c>
      <c r="B14" s="30"/>
      <c r="C14" s="30"/>
      <c r="D14" s="30"/>
      <c r="E14" s="30"/>
      <c r="F14" s="30"/>
      <c r="G14" s="30"/>
      <c r="H14" s="30"/>
      <c r="I14" s="30"/>
      <c r="J14" s="30"/>
    </row>
    <row r="15" spans="1:10" ht="22" customHeight="1">
      <c r="A15" s="31" t="s">
        <v>341</v>
      </c>
      <c r="B15" s="32"/>
      <c r="C15" s="32"/>
      <c r="D15" s="31" t="s">
        <v>357</v>
      </c>
      <c r="E15" s="31"/>
      <c r="F15" s="31"/>
      <c r="G15" s="31"/>
      <c r="H15" s="31"/>
      <c r="I15" s="31"/>
      <c r="J15" s="31"/>
    </row>
    <row r="16" spans="1:10" ht="26" customHeight="1">
      <c r="A16" s="27" t="s">
        <v>358</v>
      </c>
      <c r="B16" s="27"/>
      <c r="C16" s="27"/>
      <c r="D16" s="28" t="s">
        <v>360</v>
      </c>
      <c r="E16" s="28"/>
      <c r="F16" s="28"/>
      <c r="G16" s="28"/>
      <c r="H16" s="28"/>
      <c r="I16" s="28"/>
      <c r="J16" s="28"/>
    </row>
    <row r="17" spans="1:10" ht="26" customHeight="1">
      <c r="A17" s="27" t="s">
        <v>359</v>
      </c>
      <c r="B17" s="27"/>
      <c r="C17" s="27"/>
      <c r="D17" s="29" t="s">
        <v>361</v>
      </c>
      <c r="E17" s="29"/>
      <c r="F17" s="29"/>
      <c r="G17" s="29"/>
      <c r="H17" s="29"/>
      <c r="I17" s="29"/>
      <c r="J17" s="29"/>
    </row>
    <row r="18" spans="1:10" ht="26" customHeight="1">
      <c r="A18" s="27" t="s">
        <v>347</v>
      </c>
      <c r="B18" s="27"/>
      <c r="C18" s="27"/>
      <c r="D18" s="28" t="s">
        <v>362</v>
      </c>
      <c r="E18" s="28"/>
      <c r="F18" s="28"/>
      <c r="G18" s="28"/>
      <c r="H18" s="28"/>
      <c r="I18" s="28"/>
      <c r="J18" s="28"/>
    </row>
    <row r="19" spans="1:10" ht="26" customHeight="1">
      <c r="A19" s="27" t="s">
        <v>350</v>
      </c>
      <c r="B19" s="27"/>
      <c r="C19" s="27"/>
      <c r="D19" s="29" t="s">
        <v>363</v>
      </c>
      <c r="E19" s="29"/>
      <c r="F19" s="29"/>
      <c r="G19" s="29"/>
      <c r="H19" s="29"/>
      <c r="I19" s="29"/>
      <c r="J19" s="29"/>
    </row>
    <row r="20" spans="1:10" ht="26" customHeight="1">
      <c r="A20" s="27" t="s">
        <v>353</v>
      </c>
      <c r="B20" s="27"/>
      <c r="C20" s="27"/>
      <c r="D20" s="28" t="s">
        <v>364</v>
      </c>
      <c r="E20" s="28"/>
      <c r="F20" s="28"/>
      <c r="G20" s="28"/>
      <c r="H20" s="28"/>
      <c r="I20" s="28"/>
      <c r="J20" s="28"/>
    </row>
    <row r="22" spans="1:10" ht="26" customHeight="1">
      <c r="A22" s="24" t="s">
        <v>365</v>
      </c>
      <c r="B22" s="24"/>
      <c r="C22" s="24"/>
      <c r="D22" s="24"/>
      <c r="E22" s="24"/>
      <c r="F22" s="24"/>
      <c r="G22" s="24"/>
      <c r="H22" s="24"/>
      <c r="I22" s="24"/>
      <c r="J22" s="24"/>
    </row>
    <row r="23" spans="1:10" ht="55" customHeight="1">
      <c r="A23" s="25" t="s">
        <v>366</v>
      </c>
      <c r="B23" s="25"/>
      <c r="C23" s="25"/>
      <c r="D23" s="25"/>
      <c r="E23" s="25"/>
      <c r="F23" s="25"/>
      <c r="G23" s="25"/>
      <c r="H23" s="25"/>
      <c r="I23" s="25"/>
      <c r="J23" s="25"/>
    </row>
    <row r="25" spans="1:10" ht="22" customHeight="1">
      <c r="A25" s="26" t="s">
        <v>367</v>
      </c>
      <c r="B25" s="26"/>
      <c r="C25" s="26"/>
      <c r="D25" s="26"/>
      <c r="E25" s="26"/>
      <c r="F25" s="26"/>
      <c r="G25" s="26"/>
      <c r="H25" s="26"/>
      <c r="I25" s="26"/>
      <c r="J25" s="26"/>
    </row>
  </sheetData>
  <mergeCells count="36">
    <mergeCell ref="A8:B8"/>
    <mergeCell ref="C8:G8"/>
    <mergeCell ref="H8:J8"/>
    <mergeCell ref="A1:J1"/>
    <mergeCell ref="A2:J2"/>
    <mergeCell ref="A4:J4"/>
    <mergeCell ref="A5:J5"/>
    <mergeCell ref="A7:J7"/>
    <mergeCell ref="A9:B9"/>
    <mergeCell ref="C9:G9"/>
    <mergeCell ref="H9:J9"/>
    <mergeCell ref="A10:B10"/>
    <mergeCell ref="C10:G10"/>
    <mergeCell ref="H10:J10"/>
    <mergeCell ref="A18:C18"/>
    <mergeCell ref="A11:B11"/>
    <mergeCell ref="C11:G11"/>
    <mergeCell ref="H11:J11"/>
    <mergeCell ref="A12:B12"/>
    <mergeCell ref="C12:G12"/>
    <mergeCell ref="H12:J12"/>
    <mergeCell ref="A14:J14"/>
    <mergeCell ref="A15:C15"/>
    <mergeCell ref="D15:J15"/>
    <mergeCell ref="A16:C16"/>
    <mergeCell ref="A17:C17"/>
    <mergeCell ref="D16:J16"/>
    <mergeCell ref="D17:J17"/>
    <mergeCell ref="D18:J18"/>
    <mergeCell ref="D19:J19"/>
    <mergeCell ref="D20:J20"/>
    <mergeCell ref="A22:J22"/>
    <mergeCell ref="A23:J23"/>
    <mergeCell ref="A25:J25"/>
    <mergeCell ref="A19:C19"/>
    <mergeCell ref="A20:C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Client Jobs</vt:lpstr>
      <vt:lpstr>Storage Inventory</vt:lpstr>
      <vt:lpstr>Delivery Log</vt:lpstr>
      <vt:lpstr>KPI Dashboard</vt:lpstr>
      <vt:lpstr>Audit Log</vt:lpstr>
      <vt:lpstr>Management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Vineesh Mattapally</dc:creator>
  <cp:lastModifiedBy>Vineesh Mattapally</cp:lastModifiedBy>
  <dcterms:created xsi:type="dcterms:W3CDTF">2026-06-11T02:03:08Z</dcterms:created>
  <dcterms:modified xsi:type="dcterms:W3CDTF">2026-06-12T15:20:18Z</dcterms:modified>
</cp:coreProperties>
</file>